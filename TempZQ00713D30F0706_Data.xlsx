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D:\QUANGMINH\"/>
    </mc:Choice>
  </mc:AlternateContent>
  <xr:revisionPtr revIDLastSave="0" documentId="13_ncr:1_{F9AA1929-E037-48EB-A349-8B71B9CED861}" xr6:coauthVersionLast="47" xr6:coauthVersionMax="47" xr10:uidLastSave="{00000000-0000-0000-0000-000000000000}"/>
  <bookViews>
    <workbookView xWindow="1440" yWindow="510" windowWidth="22560" windowHeight="12390" xr2:uid="{00000000-000D-0000-FFFF-FFFF00000000}"/>
  </bookViews>
  <sheets>
    <sheet name="Data" sheetId="1" r:id="rId1"/>
    <sheet name="Sheet1" sheetId="2" r:id="rId2"/>
    <sheet name="Sheet2" sheetId="3" r:id="rId3"/>
  </sheets>
  <calcPr calcId="181029"/>
  <webPublishing codePage="1252"/>
</workbook>
</file>

<file path=xl/calcChain.xml><?xml version="1.0" encoding="utf-8"?>
<calcChain xmlns="http://schemas.openxmlformats.org/spreadsheetml/2006/main">
  <c r="P11" i="2" l="1"/>
  <c r="O11" i="2"/>
  <c r="P10" i="2"/>
  <c r="Z10" i="2" s="1"/>
  <c r="O10" i="2"/>
  <c r="G10" i="2"/>
  <c r="Q10" i="2" s="1"/>
  <c r="P9" i="2"/>
  <c r="O9" i="2"/>
  <c r="P7" i="2"/>
  <c r="M7" i="2"/>
  <c r="G7" i="2"/>
  <c r="Q7" i="2" s="1"/>
  <c r="Z7" i="2" s="1"/>
  <c r="P5" i="2"/>
  <c r="O5" i="2"/>
  <c r="P4" i="2"/>
  <c r="Z4" i="2" s="1"/>
  <c r="O4" i="2"/>
  <c r="G4" i="2"/>
  <c r="Q4" i="2" s="1"/>
  <c r="P3" i="2"/>
  <c r="O3" i="2"/>
  <c r="M4" i="2" l="1"/>
  <c r="Y4" i="2" s="1"/>
  <c r="T4" i="2"/>
  <c r="X4" i="2"/>
  <c r="W4" i="2"/>
  <c r="V4" i="2"/>
  <c r="U4" i="2"/>
  <c r="Q5" i="2"/>
  <c r="Q3" i="2"/>
  <c r="Q9" i="2"/>
  <c r="Q11" i="2"/>
  <c r="Y7" i="2"/>
  <c r="M10" i="2"/>
  <c r="Y10" i="2" s="1"/>
  <c r="I4" i="2"/>
  <c r="I7" i="2"/>
  <c r="I10" i="2"/>
  <c r="U7" i="2" l="1"/>
  <c r="T7" i="2"/>
  <c r="X7" i="2"/>
  <c r="W7" i="2"/>
  <c r="V7" i="2"/>
  <c r="U10" i="2"/>
  <c r="T10" i="2"/>
  <c r="W10" i="2"/>
  <c r="V10" i="2"/>
  <c r="X10" i="2"/>
  <c r="Q9" i="1" l="1"/>
  <c r="Q10" i="1"/>
  <c r="Q8" i="1"/>
  <c r="O8" i="1"/>
  <c r="P8" i="1"/>
</calcChain>
</file>

<file path=xl/sharedStrings.xml><?xml version="1.0" encoding="utf-8"?>
<sst xmlns="http://schemas.openxmlformats.org/spreadsheetml/2006/main" count="223" uniqueCount="109">
  <si>
    <t>Đơn hàng</t>
  </si>
  <si>
    <t>Ngày nhận</t>
  </si>
  <si>
    <t>Ngày giao</t>
  </si>
  <si>
    <t>Mã khách hàng</t>
  </si>
  <si>
    <t>Quy cách mặt hàng Dài</t>
  </si>
  <si>
    <t>Quy cách mặt hàng Rộng</t>
  </si>
  <si>
    <t>Quy cách mặt hàng Cao</t>
  </si>
  <si>
    <t>SLTT</t>
  </si>
  <si>
    <t>SLKH</t>
  </si>
  <si>
    <t>STT</t>
  </si>
  <si>
    <t>Sóng</t>
  </si>
  <si>
    <t>Khổ</t>
  </si>
  <si>
    <t>Kết cấu</t>
  </si>
  <si>
    <t>Quy cách</t>
  </si>
  <si>
    <t>Quy cách bổ sung</t>
  </si>
  <si>
    <t>Số lượng</t>
  </si>
  <si>
    <t>Mặt C</t>
  </si>
  <si>
    <t>Sóng C</t>
  </si>
  <si>
    <t>Mặt B</t>
  </si>
  <si>
    <t>Sóng B</t>
  </si>
  <si>
    <t>Mặt E</t>
  </si>
  <si>
    <t>Sóng E</t>
  </si>
  <si>
    <t>S</t>
  </si>
  <si>
    <t>L</t>
  </si>
  <si>
    <t>Mã lô</t>
  </si>
  <si>
    <t>PHDH/12/25/007</t>
  </si>
  <si>
    <t>12/12/2025</t>
  </si>
  <si>
    <t>ZCVNAM-HCM-001</t>
  </si>
  <si>
    <t>37</t>
  </si>
  <si>
    <t>27</t>
  </si>
  <si>
    <t>16</t>
  </si>
  <si>
    <t>W11M35M27M27T85BE</t>
  </si>
  <si>
    <t>Hiện tại</t>
  </si>
  <si>
    <t>Yêu cầu</t>
  </si>
  <si>
    <t>Đã có</t>
  </si>
  <si>
    <t>Cột</t>
  </si>
  <si>
    <t>Đơn hàng</t>
  </si>
  <si>
    <t>Ngày nhận</t>
  </si>
  <si>
    <t>Ngày giao</t>
  </si>
  <si>
    <t>Mã khách hàng</t>
  </si>
  <si>
    <t>Quy cách Dài</t>
  </si>
  <si>
    <t>Quy cách Rộng</t>
  </si>
  <si>
    <t>Quy cách Cao</t>
  </si>
  <si>
    <t>Sóng</t>
  </si>
  <si>
    <t>Khổ</t>
  </si>
  <si>
    <t>Kết cấu</t>
  </si>
  <si>
    <t>Quy cách</t>
  </si>
  <si>
    <t>Quy cách bổ sung</t>
  </si>
  <si>
    <t>Số lượng</t>
  </si>
  <si>
    <t>Mặt C</t>
  </si>
  <si>
    <t>Sóng C</t>
  </si>
  <si>
    <t>Mặt B</t>
  </si>
  <si>
    <t>Sóng B</t>
  </si>
  <si>
    <t>Mặt E</t>
  </si>
  <si>
    <t>Sóng E</t>
  </si>
  <si>
    <t>Bổ sung</t>
  </si>
  <si>
    <t>Bổ sung bên dưới, Diễn giải chi tiết của Lệnh sản xuất</t>
  </si>
  <si>
    <t xml:space="preserve">Dựa vào Cột Sóng (9), để chọn giấy cuộn tương ứng 
Dữ liệu cột Kết cấu, bỏ ký tự phía bên phải các ký tự giống cột Sóng. 
Nếu cột Sóng (10) là C:  
     - 3 ký tự đầu cột Kết cấu (12) so với mã phân tích 1 lô của NVL, đưa mã Lô của NVL vào cột Đáy in (22) 
     - Ký tự 456 so với mã phân tích 1 lô của NVL, đưa mã Lô của NVL vào cột Sóng C (Cột 17) 
     - Ký tự 789 so với mã phân tích 1 lô của NVL, đưa mã Lô của NVL vào cột Mặt C (Cột 16) 
Nếu cột Sóng (10) là B 
     - 3 ký tự đầu cột Kết cấu (12) so với mã phân tích 1 lô của NVL, đưa mã Lô của NVL vào cột Đáy in (22) 
     - Ký tự 456 so với mã phân tích 1 lô của NVL, đưa mã Lô của NVL vào cột Sóng C (Cột 17) 
     - Ký tự 789 so với mã phân tích 1 lô của NVL, đưa mã Lô của NVL vào cột Mặt C (Cột 16) 
Nếu cột Sóng (10) là CE 
    - 3 ký tự đầu cột Kết cấu (12) so với mã phân tích 1 lô của NVL, đưa mã Lô của NVL vào cột Đáy in (22) 
     - Ký tự 456 so với mã phân tích 1 lô của NVL, đưa mã Lô của NVL vào cột Sóng C (Cột 17) 
     - Ký tự 789 so với mã phân tích 1 lô của NVL, đưa mã Lô của NVL vào cột Mặt E (Cột 20) 
     - Ký tự 10,11,12 so với mã phân tích 1 lô của NVL, đưa mã Lô của NVL vào cột Sóng E (Cột 21) 
     - Ký tự 13,14,15 so với mã phân tích 1 lô của NVL, đưa mã Lô của NVL vào cột Mặt C ( Cột 16) 
Nếu cột Sóng (10) là BE 
     - 3 ký tự đầu cột Kết cấu (12) so với mã phân tích 1 lô của NVL, đưa mã Lô của NVL vào cột Đáy in (22) 
     - Ký tự 456 so với mã phân tích 1 lô của NVL, đưa mã Lô của NVL vào cột Sóng B (Cột 19) 
     - Ký tự 789 so với mã phân tích 1 lô của NVL, đưa mã Lô của NVL vào cột Mặt E (Cột 20) 
     - Ký tự 10,11,12 so với mã phân tích 1 lô của NVL, đưa mã Lô của NVL vào cột Sóng E (Cột 21) 
     - Ký tự 13,14,15 so với mã phân tích 1 lô của NVL, đưa mã Lô của NVL vào cột Mặt B ( Cột 18) 
Nếu cột Sóng (10) là BC  
     - 3 ký tự đầu cột Kết cấu (12) so với mã phân tích 1 lô của NVL, đưa mã Lô của NVL vào cột Đáy in (22) 
     - Ký tự 456 so với mã phân tích 1 lô của NVL, đưa mã Lô của NVL vào cột Sóng C (Cột 17) 
     - Ký tự 789 so với mã phân tích 1 lô của NVL, đưa mã Lô của NVL vào cột Mặt B (Cột 18) 
     - Ký tự 10,11,12 so với mã phân tích 1 lô của NVL, đưa mã Lô của NVL vào cột Sóng B (Cột 19) 
     - Ký tự 13,14,15 so với mã phân tích 1 lô của NVL, đưa mã Lô của NVL vào cột Mặt C ( Cột 17) 
Nếu cột Sóng (10) là CBE 
     - 3 ký tự đầu cột Kết cấu (12) so với mã phân tích 1 lô của NVL, đưa mã Lô của NVL vào cột Đáy in (22) 
     - Ký tự 456 so với mã phân tích 1 lô của NVL, đưa mã Lô của NVL vào cột Sóng C (Cột 17) 
     - Ký tự 789 so với mã phân tích 1 lô của NVL, đưa mã Lô của NVL vào cột Mặt B (Cột 18) 
     - Ký tự 10,11,12 so với mã phân tích 1 lô của NVL, đưa mã Lô của NVL vào cột Sóng B (Cột 19) 
     - Ký tự 13,14,15 so với mã phân tích 1 lô của NVL, đưa mã Lô của NVL vào cột Mặt E ( Cột 20) 
     - Ký tự 16,17,18 so với mã phân tích 1 lô của NVL, đưa mã Lô của NVL vào cột Sóng E (Cột 21) 
     - Ký tự 19,20,21 so với mã phân tích 1 lô của NVL, đưa mã Lô của NVL vào cột Mặt C ( Cột 16) </t>
  </si>
  <si>
    <t>Đáy in</t>
  </si>
  <si>
    <t>Icode06 của mã hàng trên đơn hàng là 
- CTMN : Thêm chữ "Chống Thấm" ở cột 22
- CTMT : 
     . Cột 10 ( Sóng) là C, hoặc BC: Thêm chữ "Chống Thấm" ở cột 16 ( Mặt C)
     . Cột 10 ( Sóng) là B, BE : Thêm chữ "Chống Thấm" ở cột 18 ( Mặt B)
- CT2M :Thêm chữ "Chống Thấm" ở cột 22
      . Cột 10 ( Sóng) là C, hoặc BC: Thêm chữ "Chống Thấm" ở cột 16 ( Mặt C)
      . Cột 10 ( Sóng) là B, BE : Thêm chữ "Chống Thấm" ở cột 18 ( Mặt B)</t>
  </si>
  <si>
    <t>BE</t>
  </si>
  <si>
    <t>Diễn giải chi tiết của Lệnh sản xuất</t>
  </si>
  <si>
    <t>Dữ liệu từ Kế hoạch Xuất kho</t>
  </si>
  <si>
    <t>Đáy In</t>
  </si>
  <si>
    <t>Chống Thấm</t>
  </si>
  <si>
    <t>NGÀY 30 THÁNG 07 NĂM 2024</t>
  </si>
  <si>
    <t>KẾ HOẠCH CHẠY GIẤY TẤM MÁY SÓNG 1.4</t>
  </si>
  <si>
    <t>Mã số: BM.01-QT.3.3.01</t>
  </si>
  <si>
    <t>nhận</t>
  </si>
  <si>
    <t>giao</t>
  </si>
  <si>
    <t>MKH</t>
  </si>
  <si>
    <t>Qui cách</t>
  </si>
  <si>
    <t>SLtt</t>
  </si>
  <si>
    <t>slkh</t>
  </si>
  <si>
    <t>c/lệch</t>
  </si>
  <si>
    <t>Maøu</t>
  </si>
  <si>
    <t>Stt</t>
  </si>
  <si>
    <t>Kết Cấu</t>
  </si>
  <si>
    <t>SL</t>
  </si>
  <si>
    <t>mặt C</t>
  </si>
  <si>
    <t>mặt B</t>
  </si>
  <si>
    <t>mặt E</t>
  </si>
  <si>
    <t>l</t>
  </si>
  <si>
    <t>mã giấy tấm</t>
  </si>
  <si>
    <t>KOAEL140</t>
  </si>
  <si>
    <t>XMH125</t>
  </si>
  <si>
    <t>XDT100</t>
  </si>
  <si>
    <t>DLKS140</t>
  </si>
  <si>
    <t>HG</t>
  </si>
  <si>
    <t>27/7</t>
  </si>
  <si>
    <t>5L-HDKOA-m35-m27-m27-DLKS</t>
  </si>
  <si>
    <t>HDKZ150</t>
  </si>
  <si>
    <t>31/7</t>
  </si>
  <si>
    <t>w11m35m27m27-t77-BE</t>
  </si>
  <si>
    <t>QM2968</t>
  </si>
  <si>
    <t>TDWTHG300724-03</t>
  </si>
  <si>
    <t>KHỔ + 2CM</t>
  </si>
  <si>
    <t>QM3862</t>
  </si>
  <si>
    <t>TDWTHG300724-04</t>
  </si>
  <si>
    <t>K140</t>
  </si>
  <si>
    <t>Thông tin Phụ First Num 1-  Chi Tiết Lệnh</t>
  </si>
  <si>
    <t>Mã hàng trên đơn hàng + "_01"</t>
  </si>
  <si>
    <t>Số lượng sau điều chỉnh của Lệnh sản xuất</t>
  </si>
  <si>
    <t>Cột KHỔ của Lệnh sản xuất</t>
  </si>
  <si>
    <t>Cột Quy cách GT 1 của Lệnh sản xuất</t>
  </si>
  <si>
    <t>Cột Quy cách GT 2 của Lệnh sản xuất</t>
  </si>
  <si>
    <t>Cột SL Giấy của Lệnh sản xuất</t>
  </si>
  <si>
    <t>Cột S Giấy của  Lệnh sản xuất</t>
  </si>
  <si>
    <t>Cột L Giấy của Lệnh sản xuất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</si>
</sst>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dd/m"/>
    <numFmt numFmtId="165" formatCode="_(* #,##0_);_(* \(#,##0\);_(* &quot;-&quot;??_);_(@_)"/>
    <numFmt numFmtId="166" formatCode="0.0"/>
    <numFmt numFmtId="167" formatCode="_(* #,##0.0_);_(* \(#,##0.0\);_(* &quot;-&quot;??_);_(@_)"/>
  </numFmts>
  <fonts count="26" x14ac:knownFonts="1">
    <font>
      <sz val="10"/>
      <name val="Arial"/>
      <charset val="1"/>
    </font>
    <font>
      <b/>
      <sz val="10"/>
      <name val="Arial"/>
      <charset val="1"/>
    </font>
    <font>
      <b/>
      <sz val="10"/>
      <name val="Arial"/>
      <family val="2"/>
    </font>
    <font>
      <sz val="10"/>
      <name val="Arial"/>
      <family val="2"/>
    </font>
    <font>
      <i/>
      <sz val="10"/>
      <color rgb="FF00B050"/>
      <name val="Arial"/>
      <family val="2"/>
    </font>
    <font>
      <b/>
      <sz val="12"/>
      <name val="Arial"/>
      <family val="2"/>
    </font>
    <font>
      <i/>
      <sz val="10"/>
      <color rgb="FFFF0000"/>
      <name val="Arial"/>
      <family val="2"/>
    </font>
    <font>
      <sz val="10"/>
      <name val="Arial"/>
      <charset val="1"/>
    </font>
    <font>
      <i/>
      <sz val="10"/>
      <name val="Arial"/>
      <family val="2"/>
    </font>
    <font>
      <sz val="10"/>
      <color rgb="FF00B050"/>
      <name val="Arial"/>
      <family val="2"/>
    </font>
    <font>
      <b/>
      <sz val="10"/>
      <color theme="1"/>
      <name val="Times New Roman"/>
      <family val="1"/>
    </font>
    <font>
      <b/>
      <sz val="10"/>
      <name val="Times New Roman"/>
      <family val="1"/>
    </font>
    <font>
      <b/>
      <i/>
      <sz val="10"/>
      <name val="Times New Roman"/>
      <family val="1"/>
    </font>
    <font>
      <sz val="10"/>
      <name val="Times New Roman"/>
      <family val="1"/>
    </font>
    <font>
      <b/>
      <sz val="10"/>
      <color rgb="FF3333FF"/>
      <name val="Times New Roman"/>
      <family val="1"/>
    </font>
    <font>
      <sz val="10"/>
      <color rgb="FF3333FF"/>
      <name val="Times New Roman"/>
      <family val="1"/>
    </font>
    <font>
      <sz val="9"/>
      <name val="Times New Roman"/>
      <family val="1"/>
    </font>
    <font>
      <sz val="10"/>
      <color theme="1"/>
      <name val="Times New Roman"/>
      <family val="1"/>
    </font>
    <font>
      <sz val="10"/>
      <color theme="1"/>
      <name val="VNI-Times"/>
    </font>
    <font>
      <b/>
      <sz val="10"/>
      <color theme="1"/>
      <name val="VNI-Times"/>
    </font>
    <font>
      <sz val="11"/>
      <color theme="1"/>
      <name val="VNI-Times"/>
    </font>
    <font>
      <b/>
      <sz val="11"/>
      <color theme="1"/>
      <name val="VNI-Times"/>
    </font>
    <font>
      <b/>
      <sz val="10"/>
      <color rgb="FF00B0F0"/>
      <name val="VNI-Times"/>
    </font>
    <font>
      <sz val="10"/>
      <color rgb="FF00B0F0"/>
      <name val="VNI-Times"/>
    </font>
    <font>
      <b/>
      <sz val="11"/>
      <color rgb="FF00B0F0"/>
      <name val="VNI-Times"/>
    </font>
    <font>
      <b/>
      <sz val="10"/>
      <color rgb="FFFF0000"/>
      <name val="Arial"/>
      <family val="2"/>
    </font>
  </fonts>
  <fills count="7">
    <fill>
      <patternFill patternType="none"/>
    </fill>
    <fill>
      <patternFill patternType="gray125"/>
    </fill>
    <fill>
      <patternFill patternType="solid">
        <fgColor rgb="FFD3D3D3"/>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s>
  <borders count="32">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bottom/>
      <diagonal/>
    </border>
    <border>
      <left style="thin">
        <color indexed="64"/>
      </left>
      <right style="thin">
        <color indexed="64"/>
      </right>
      <top style="dotted">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dotted">
        <color indexed="64"/>
      </top>
      <bottom/>
      <diagonal/>
    </border>
    <border>
      <left style="thin">
        <color indexed="64"/>
      </left>
      <right style="thin">
        <color indexed="64"/>
      </right>
      <top style="dotted">
        <color indexed="64"/>
      </top>
      <bottom/>
      <diagonal/>
    </border>
    <border>
      <left style="thin">
        <color indexed="64"/>
      </left>
      <right style="thin">
        <color indexed="64"/>
      </right>
      <top/>
      <bottom style="medium">
        <color indexed="64"/>
      </bottom>
      <diagonal/>
    </border>
  </borders>
  <cellStyleXfs count="5">
    <xf numFmtId="0" fontId="0" fillId="0" borderId="0"/>
    <xf numFmtId="43" fontId="7"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cellStyleXfs>
  <cellXfs count="134">
    <xf numFmtId="0" fontId="0" fillId="0" borderId="0" xfId="0"/>
    <xf numFmtId="0" fontId="1" fillId="2" borderId="1" xfId="0" applyFont="1" applyFill="1" applyBorder="1" applyAlignment="1">
      <alignment horizontal="center"/>
    </xf>
    <xf numFmtId="0" fontId="0" fillId="0" borderId="1" xfId="0" applyBorder="1" applyAlignment="1">
      <alignment horizontal="left" wrapText="1"/>
    </xf>
    <xf numFmtId="3" fontId="0" fillId="0" borderId="1" xfId="0" applyNumberFormat="1" applyBorder="1" applyAlignment="1">
      <alignment horizontal="right"/>
    </xf>
    <xf numFmtId="0" fontId="2" fillId="0" borderId="0" xfId="0" applyFont="1"/>
    <xf numFmtId="0" fontId="3" fillId="0" borderId="0" xfId="0" applyFont="1"/>
    <xf numFmtId="0" fontId="4" fillId="0" borderId="0" xfId="0" applyFont="1"/>
    <xf numFmtId="0" fontId="5" fillId="0" borderId="0" xfId="0" applyFont="1" applyAlignment="1">
      <alignment horizontal="center"/>
    </xf>
    <xf numFmtId="0" fontId="6" fillId="0" borderId="0" xfId="0" applyFont="1"/>
    <xf numFmtId="0" fontId="0" fillId="0" borderId="0" xfId="0" applyAlignment="1">
      <alignment horizontal="left" wrapText="1"/>
    </xf>
    <xf numFmtId="3" fontId="0" fillId="0" borderId="0" xfId="0" applyNumberFormat="1" applyAlignment="1">
      <alignment horizontal="right"/>
    </xf>
    <xf numFmtId="0" fontId="1" fillId="2" borderId="2" xfId="0" applyFont="1" applyFill="1" applyBorder="1" applyAlignment="1">
      <alignment horizontal="center"/>
    </xf>
    <xf numFmtId="0" fontId="0" fillId="0" borderId="0" xfId="0" applyAlignment="1">
      <alignment vertical="top" wrapText="1"/>
    </xf>
    <xf numFmtId="0" fontId="0" fillId="0" borderId="0" xfId="0" applyAlignment="1">
      <alignment horizontal="center"/>
    </xf>
    <xf numFmtId="0" fontId="10" fillId="0" borderId="3" xfId="0" applyFont="1" applyBorder="1" applyAlignment="1">
      <alignment vertical="center"/>
    </xf>
    <xf numFmtId="0" fontId="10" fillId="0" borderId="4" xfId="0" applyFont="1" applyBorder="1" applyAlignment="1">
      <alignment vertical="center"/>
    </xf>
    <xf numFmtId="0" fontId="10" fillId="0" borderId="5" xfId="0" applyFont="1" applyBorder="1" applyAlignment="1">
      <alignment vertical="center"/>
    </xf>
    <xf numFmtId="0" fontId="10" fillId="0" borderId="6" xfId="0" applyFont="1" applyBorder="1" applyAlignment="1">
      <alignment vertical="center"/>
    </xf>
    <xf numFmtId="0" fontId="11" fillId="0" borderId="11" xfId="2" applyFont="1" applyBorder="1" applyAlignment="1">
      <alignment horizontal="right" vertical="center"/>
    </xf>
    <xf numFmtId="0" fontId="11" fillId="0" borderId="12" xfId="2" applyFont="1" applyBorder="1" applyAlignment="1">
      <alignment horizontal="right" vertical="center"/>
    </xf>
    <xf numFmtId="164" fontId="11" fillId="3" borderId="13" xfId="2" applyNumberFormat="1" applyFont="1" applyFill="1" applyBorder="1" applyAlignment="1">
      <alignment vertical="center"/>
    </xf>
    <xf numFmtId="164" fontId="11" fillId="3" borderId="8" xfId="2" applyNumberFormat="1" applyFont="1" applyFill="1" applyBorder="1" applyAlignment="1">
      <alignment vertical="center"/>
    </xf>
    <xf numFmtId="49" fontId="11" fillId="3" borderId="14" xfId="2" applyNumberFormat="1" applyFont="1" applyFill="1" applyBorder="1" applyAlignment="1">
      <alignment vertical="center" wrapText="1"/>
    </xf>
    <xf numFmtId="165" fontId="11" fillId="3" borderId="14" xfId="3" applyNumberFormat="1" applyFont="1" applyFill="1" applyBorder="1" applyAlignment="1">
      <alignment vertical="center"/>
    </xf>
    <xf numFmtId="0" fontId="11" fillId="3" borderId="15" xfId="2" applyFont="1" applyFill="1" applyBorder="1" applyAlignment="1">
      <alignment horizontal="center" vertical="center"/>
    </xf>
    <xf numFmtId="165" fontId="11" fillId="3" borderId="14" xfId="3" applyNumberFormat="1" applyFont="1" applyFill="1" applyBorder="1" applyAlignment="1">
      <alignment horizontal="center" vertical="center"/>
    </xf>
    <xf numFmtId="0" fontId="11" fillId="3" borderId="14" xfId="2" applyFont="1" applyFill="1" applyBorder="1" applyAlignment="1">
      <alignment vertical="center"/>
    </xf>
    <xf numFmtId="0" fontId="11" fillId="3" borderId="14" xfId="2" applyFont="1" applyFill="1" applyBorder="1" applyAlignment="1">
      <alignment horizontal="center" vertical="center"/>
    </xf>
    <xf numFmtId="0" fontId="11" fillId="3" borderId="15" xfId="2" applyFont="1" applyFill="1" applyBorder="1" applyAlignment="1">
      <alignment vertical="center"/>
    </xf>
    <xf numFmtId="0" fontId="12" fillId="3" borderId="15" xfId="2" applyFont="1" applyFill="1" applyBorder="1" applyAlignment="1">
      <alignment horizontal="center" vertical="center"/>
    </xf>
    <xf numFmtId="0" fontId="12" fillId="3" borderId="14" xfId="2" applyFont="1" applyFill="1" applyBorder="1" applyAlignment="1">
      <alignment horizontal="center" vertical="center"/>
    </xf>
    <xf numFmtId="165" fontId="11" fillId="3" borderId="14" xfId="1" applyNumberFormat="1" applyFont="1" applyFill="1" applyBorder="1" applyAlignment="1">
      <alignment horizontal="right" vertical="center"/>
    </xf>
    <xf numFmtId="0" fontId="11" fillId="3" borderId="16" xfId="2" applyFont="1" applyFill="1" applyBorder="1" applyAlignment="1">
      <alignment horizontal="right" vertical="center"/>
    </xf>
    <xf numFmtId="0" fontId="12" fillId="3" borderId="17" xfId="2" applyFont="1" applyFill="1" applyBorder="1" applyAlignment="1">
      <alignment horizontal="center" vertical="center" wrapText="1"/>
    </xf>
    <xf numFmtId="165" fontId="13" fillId="0" borderId="18" xfId="1" applyNumberFormat="1" applyFont="1" applyFill="1" applyBorder="1" applyAlignment="1">
      <alignment horizontal="center" vertical="center"/>
    </xf>
    <xf numFmtId="165" fontId="11" fillId="5" borderId="20" xfId="1" applyNumberFormat="1" applyFont="1" applyFill="1" applyBorder="1" applyAlignment="1">
      <alignment horizontal="center" vertical="center"/>
    </xf>
    <xf numFmtId="165" fontId="13" fillId="5" borderId="19" xfId="1" applyNumberFormat="1" applyFont="1" applyFill="1" applyBorder="1" applyAlignment="1">
      <alignment horizontal="right" vertical="center"/>
    </xf>
    <xf numFmtId="0" fontId="13" fillId="0" borderId="20" xfId="0" applyFont="1" applyBorder="1" applyAlignment="1">
      <alignment horizontal="center" vertical="center"/>
    </xf>
    <xf numFmtId="165" fontId="13" fillId="0" borderId="19" xfId="1" applyNumberFormat="1" applyFont="1" applyFill="1" applyBorder="1" applyAlignment="1">
      <alignment horizontal="left" vertical="center"/>
    </xf>
    <xf numFmtId="165" fontId="11" fillId="5" borderId="22" xfId="1" applyNumberFormat="1" applyFont="1" applyFill="1" applyBorder="1" applyAlignment="1">
      <alignment horizontal="center" vertical="center"/>
    </xf>
    <xf numFmtId="165" fontId="13" fillId="0" borderId="18" xfId="0" applyNumberFormat="1" applyFont="1" applyBorder="1" applyAlignment="1">
      <alignment horizontal="center" vertical="center"/>
    </xf>
    <xf numFmtId="165" fontId="11" fillId="5" borderId="25" xfId="1" applyNumberFormat="1" applyFont="1" applyFill="1" applyBorder="1" applyAlignment="1">
      <alignment vertical="center"/>
    </xf>
    <xf numFmtId="165" fontId="11" fillId="0" borderId="24" xfId="1" applyNumberFormat="1" applyFont="1" applyFill="1" applyBorder="1" applyAlignment="1">
      <alignment horizontal="center" vertical="center"/>
    </xf>
    <xf numFmtId="49" fontId="11" fillId="0" borderId="27" xfId="0" applyNumberFormat="1" applyFont="1" applyBorder="1" applyAlignment="1">
      <alignment horizontal="left" vertical="center"/>
    </xf>
    <xf numFmtId="49" fontId="11" fillId="0" borderId="28" xfId="0" applyNumberFormat="1" applyFont="1" applyBorder="1" applyAlignment="1">
      <alignment horizontal="left" vertical="center"/>
    </xf>
    <xf numFmtId="16" fontId="11" fillId="0" borderId="19" xfId="0" applyNumberFormat="1" applyFont="1" applyBorder="1" applyAlignment="1">
      <alignment horizontal="left" vertical="center"/>
    </xf>
    <xf numFmtId="166" fontId="13" fillId="0" borderId="28" xfId="0" applyNumberFormat="1" applyFont="1" applyBorder="1" applyAlignment="1">
      <alignment horizontal="right" vertical="center"/>
    </xf>
    <xf numFmtId="165" fontId="11" fillId="0" borderId="28" xfId="1" applyNumberFormat="1" applyFont="1" applyFill="1" applyBorder="1" applyAlignment="1">
      <alignment horizontal="center" vertical="center"/>
    </xf>
    <xf numFmtId="165" fontId="13" fillId="0" borderId="28" xfId="1" applyNumberFormat="1" applyFont="1" applyFill="1" applyBorder="1" applyAlignment="1">
      <alignment horizontal="center" vertical="center"/>
    </xf>
    <xf numFmtId="165" fontId="13" fillId="0" borderId="20" xfId="1" applyNumberFormat="1" applyFont="1" applyFill="1" applyBorder="1" applyAlignment="1">
      <alignment horizontal="center" vertical="center"/>
    </xf>
    <xf numFmtId="165" fontId="13" fillId="0" borderId="20" xfId="1" applyNumberFormat="1" applyFont="1" applyFill="1" applyBorder="1" applyAlignment="1">
      <alignment horizontal="left" vertical="center"/>
    </xf>
    <xf numFmtId="0" fontId="13" fillId="0" borderId="20" xfId="1" applyNumberFormat="1" applyFont="1" applyFill="1" applyBorder="1" applyAlignment="1">
      <alignment horizontal="left" vertical="center"/>
    </xf>
    <xf numFmtId="167" fontId="11" fillId="5" borderId="20" xfId="1" applyNumberFormat="1" applyFont="1" applyFill="1" applyBorder="1" applyAlignment="1">
      <alignment horizontal="center" vertical="center"/>
    </xf>
    <xf numFmtId="167" fontId="11" fillId="5" borderId="20" xfId="1" applyNumberFormat="1" applyFont="1" applyFill="1" applyBorder="1" applyAlignment="1">
      <alignment horizontal="right" vertical="center"/>
    </xf>
    <xf numFmtId="165" fontId="13" fillId="0" borderId="20" xfId="1" applyNumberFormat="1" applyFont="1" applyFill="1" applyBorder="1" applyAlignment="1">
      <alignment horizontal="right" vertical="center"/>
    </xf>
    <xf numFmtId="0" fontId="13" fillId="5" borderId="20" xfId="0" applyFont="1" applyFill="1" applyBorder="1" applyAlignment="1">
      <alignment horizontal="center" vertical="center"/>
    </xf>
    <xf numFmtId="165" fontId="11" fillId="0" borderId="20" xfId="1" applyNumberFormat="1" applyFont="1" applyFill="1" applyBorder="1" applyAlignment="1">
      <alignment horizontal="right" vertical="center"/>
    </xf>
    <xf numFmtId="0" fontId="11" fillId="5" borderId="20" xfId="0" applyFont="1" applyFill="1" applyBorder="1" applyAlignment="1">
      <alignment horizontal="right" vertical="center"/>
    </xf>
    <xf numFmtId="49" fontId="13" fillId="0" borderId="29" xfId="0" applyNumberFormat="1" applyFont="1" applyBorder="1" applyAlignment="1">
      <alignment horizontal="center" vertical="center"/>
    </xf>
    <xf numFmtId="49" fontId="13" fillId="0" borderId="30" xfId="0" applyNumberFormat="1" applyFont="1" applyBorder="1" applyAlignment="1">
      <alignment horizontal="center" vertical="center"/>
    </xf>
    <xf numFmtId="16" fontId="14" fillId="0" borderId="18" xfId="0" applyNumberFormat="1" applyFont="1" applyBorder="1" applyAlignment="1">
      <alignment horizontal="left" vertical="center"/>
    </xf>
    <xf numFmtId="166" fontId="13" fillId="0" borderId="30" xfId="0" applyNumberFormat="1" applyFont="1" applyBorder="1" applyAlignment="1">
      <alignment horizontal="right" vertical="center"/>
    </xf>
    <xf numFmtId="165" fontId="11" fillId="0" borderId="30" xfId="1" applyNumberFormat="1" applyFont="1" applyFill="1" applyBorder="1" applyAlignment="1">
      <alignment horizontal="center" vertical="center"/>
    </xf>
    <xf numFmtId="165" fontId="13" fillId="0" borderId="30" xfId="1" applyNumberFormat="1" applyFont="1" applyFill="1" applyBorder="1" applyAlignment="1">
      <alignment horizontal="center" vertical="center"/>
    </xf>
    <xf numFmtId="165" fontId="13" fillId="0" borderId="22" xfId="1" applyNumberFormat="1" applyFont="1" applyFill="1" applyBorder="1" applyAlignment="1">
      <alignment horizontal="center" vertical="center"/>
    </xf>
    <xf numFmtId="165" fontId="13" fillId="4" borderId="22" xfId="1" applyNumberFormat="1" applyFont="1" applyFill="1" applyBorder="1" applyAlignment="1">
      <alignment horizontal="center" vertical="center"/>
    </xf>
    <xf numFmtId="0" fontId="11" fillId="0" borderId="22" xfId="1" applyNumberFormat="1" applyFont="1" applyFill="1" applyBorder="1" applyAlignment="1">
      <alignment horizontal="center" vertical="center"/>
    </xf>
    <xf numFmtId="0" fontId="15" fillId="0" borderId="22" xfId="0" applyFont="1" applyBorder="1" applyAlignment="1">
      <alignment horizontal="center" vertical="center"/>
    </xf>
    <xf numFmtId="165" fontId="11" fillId="0" borderId="22" xfId="1" applyNumberFormat="1" applyFont="1" applyFill="1" applyBorder="1" applyAlignment="1">
      <alignment horizontal="center" vertical="center"/>
    </xf>
    <xf numFmtId="0" fontId="13" fillId="0" borderId="22" xfId="0" applyFont="1" applyBorder="1" applyAlignment="1">
      <alignment horizontal="center" vertical="center"/>
    </xf>
    <xf numFmtId="167" fontId="11" fillId="5" borderId="22" xfId="1" applyNumberFormat="1" applyFont="1" applyFill="1" applyBorder="1" applyAlignment="1">
      <alignment horizontal="center" vertical="center"/>
    </xf>
    <xf numFmtId="167" fontId="11" fillId="0" borderId="22" xfId="1" applyNumberFormat="1" applyFont="1" applyFill="1" applyBorder="1" applyAlignment="1">
      <alignment horizontal="right" vertical="center"/>
    </xf>
    <xf numFmtId="1" fontId="13" fillId="5" borderId="18" xfId="1" applyNumberFormat="1" applyFont="1" applyFill="1" applyBorder="1" applyAlignment="1">
      <alignment horizontal="center" vertical="center"/>
    </xf>
    <xf numFmtId="165" fontId="16" fillId="0" borderId="18" xfId="4" applyNumberFormat="1" applyFont="1" applyFill="1" applyBorder="1" applyAlignment="1">
      <alignment horizontal="center" vertical="center"/>
    </xf>
    <xf numFmtId="165" fontId="11" fillId="0" borderId="22" xfId="1" applyNumberFormat="1" applyFont="1" applyFill="1" applyBorder="1" applyAlignment="1">
      <alignment horizontal="right" vertical="center"/>
    </xf>
    <xf numFmtId="38" fontId="11" fillId="5" borderId="22" xfId="0" applyNumberFormat="1" applyFont="1" applyFill="1" applyBorder="1" applyAlignment="1">
      <alignment horizontal="right" vertical="center"/>
    </xf>
    <xf numFmtId="16" fontId="11" fillId="0" borderId="18" xfId="0" applyNumberFormat="1" applyFont="1" applyBorder="1" applyAlignment="1">
      <alignment horizontal="left" vertical="center"/>
    </xf>
    <xf numFmtId="165" fontId="13" fillId="0" borderId="25" xfId="1" applyNumberFormat="1" applyFont="1" applyFill="1" applyBorder="1" applyAlignment="1">
      <alignment horizontal="center" vertical="center"/>
    </xf>
    <xf numFmtId="0" fontId="11" fillId="0" borderId="31" xfId="0" applyFont="1" applyBorder="1" applyAlignment="1">
      <alignment horizontal="center" vertical="center"/>
    </xf>
    <xf numFmtId="167" fontId="11" fillId="5" borderId="25" xfId="1" applyNumberFormat="1" applyFont="1" applyFill="1" applyBorder="1" applyAlignment="1">
      <alignment vertical="center"/>
    </xf>
    <xf numFmtId="165" fontId="11" fillId="0" borderId="25" xfId="1" applyNumberFormat="1" applyFont="1" applyFill="1" applyBorder="1" applyAlignment="1">
      <alignment horizontal="center" vertical="center"/>
    </xf>
    <xf numFmtId="165" fontId="11" fillId="0" borderId="25" xfId="1" applyNumberFormat="1" applyFont="1" applyFill="1" applyBorder="1" applyAlignment="1">
      <alignment horizontal="right" vertical="center"/>
    </xf>
    <xf numFmtId="165" fontId="11" fillId="5" borderId="25" xfId="1" applyNumberFormat="1" applyFont="1" applyFill="1" applyBorder="1" applyAlignment="1">
      <alignment horizontal="right" vertical="center"/>
    </xf>
    <xf numFmtId="0" fontId="11" fillId="6" borderId="31" xfId="0" applyFont="1" applyFill="1" applyBorder="1" applyAlignment="1">
      <alignment horizontal="center" vertical="center"/>
    </xf>
    <xf numFmtId="0" fontId="17" fillId="0" borderId="0" xfId="0" applyFont="1"/>
    <xf numFmtId="0" fontId="17" fillId="5" borderId="0" xfId="0" applyFont="1" applyFill="1"/>
    <xf numFmtId="0" fontId="10" fillId="0" borderId="0" xfId="0" applyFont="1"/>
    <xf numFmtId="0" fontId="17" fillId="0" borderId="0" xfId="0" applyFont="1" applyAlignment="1">
      <alignment horizontal="center" vertical="center"/>
    </xf>
    <xf numFmtId="0" fontId="17" fillId="0" borderId="0" xfId="0" applyFont="1" applyAlignment="1">
      <alignment horizontal="right"/>
    </xf>
    <xf numFmtId="0" fontId="18" fillId="0" borderId="0" xfId="0" applyFont="1"/>
    <xf numFmtId="0" fontId="18" fillId="5" borderId="0" xfId="0" applyFont="1" applyFill="1"/>
    <xf numFmtId="0" fontId="19" fillId="0" borderId="0" xfId="0" applyFont="1"/>
    <xf numFmtId="0" fontId="18" fillId="0" borderId="0" xfId="0" applyFont="1" applyAlignment="1">
      <alignment horizontal="center" vertical="center"/>
    </xf>
    <xf numFmtId="165" fontId="18" fillId="0" borderId="0" xfId="1" applyNumberFormat="1" applyFont="1" applyAlignment="1">
      <alignment horizontal="right"/>
    </xf>
    <xf numFmtId="0" fontId="18" fillId="0" borderId="0" xfId="0" applyFont="1" applyAlignment="1">
      <alignment horizontal="right"/>
    </xf>
    <xf numFmtId="0" fontId="20" fillId="0" borderId="0" xfId="0" applyFont="1"/>
    <xf numFmtId="0" fontId="20" fillId="5" borderId="0" xfId="0" applyFont="1" applyFill="1"/>
    <xf numFmtId="0" fontId="21" fillId="0" borderId="2" xfId="0" applyFont="1" applyBorder="1"/>
    <xf numFmtId="165" fontId="19" fillId="0" borderId="2" xfId="1" applyNumberFormat="1" applyFont="1" applyBorder="1"/>
    <xf numFmtId="0" fontId="21" fillId="0" borderId="0" xfId="0" applyFont="1"/>
    <xf numFmtId="165" fontId="19" fillId="0" borderId="0" xfId="1" applyNumberFormat="1" applyFont="1" applyBorder="1"/>
    <xf numFmtId="0" fontId="22" fillId="0" borderId="0" xfId="0" applyFont="1" applyAlignment="1">
      <alignment horizontal="center" vertical="center"/>
    </xf>
    <xf numFmtId="0" fontId="23" fillId="0" borderId="0" xfId="0" applyFont="1" applyAlignment="1">
      <alignment horizontal="center" vertical="center"/>
    </xf>
    <xf numFmtId="0" fontId="24" fillId="0" borderId="2" xfId="0" applyFont="1" applyBorder="1"/>
    <xf numFmtId="165" fontId="22" fillId="0" borderId="2" xfId="1" applyNumberFormat="1" applyFont="1" applyBorder="1"/>
    <xf numFmtId="38" fontId="22" fillId="0" borderId="2" xfId="0" applyNumberFormat="1" applyFont="1" applyBorder="1"/>
    <xf numFmtId="165" fontId="17" fillId="0" borderId="0" xfId="1" applyNumberFormat="1" applyFont="1" applyAlignment="1">
      <alignment horizontal="right"/>
    </xf>
    <xf numFmtId="0" fontId="25" fillId="2" borderId="2" xfId="0" applyFont="1" applyFill="1" applyBorder="1" applyAlignment="1">
      <alignment horizontal="center"/>
    </xf>
    <xf numFmtId="0" fontId="9" fillId="0" borderId="2" xfId="0" applyFont="1" applyBorder="1" applyAlignment="1">
      <alignment horizontal="left" wrapText="1"/>
    </xf>
    <xf numFmtId="3" fontId="0" fillId="0" borderId="2" xfId="0" applyNumberFormat="1" applyBorder="1" applyAlignment="1">
      <alignment horizontal="right"/>
    </xf>
    <xf numFmtId="3" fontId="9" fillId="0" borderId="2" xfId="0" applyNumberFormat="1" applyFont="1" applyBorder="1" applyAlignment="1">
      <alignment horizontal="right"/>
    </xf>
    <xf numFmtId="0" fontId="0" fillId="0" borderId="2" xfId="0" applyBorder="1" applyAlignment="1">
      <alignment horizontal="left" wrapText="1"/>
    </xf>
    <xf numFmtId="0" fontId="0" fillId="0" borderId="2" xfId="0" applyBorder="1" applyAlignment="1">
      <alignment horizontal="center" wrapText="1"/>
    </xf>
    <xf numFmtId="0" fontId="0" fillId="0" borderId="2" xfId="0" applyBorder="1" applyAlignment="1">
      <alignment horizontal="center"/>
    </xf>
    <xf numFmtId="3" fontId="0" fillId="0" borderId="2" xfId="0" applyNumberFormat="1" applyBorder="1" applyAlignment="1">
      <alignment horizontal="center"/>
    </xf>
    <xf numFmtId="0" fontId="8" fillId="0" borderId="2" xfId="0" applyFont="1" applyBorder="1" applyAlignment="1">
      <alignment horizontal="center" wrapText="1"/>
    </xf>
    <xf numFmtId="0" fontId="3" fillId="0" borderId="2" xfId="0" applyFont="1" applyBorder="1" applyAlignment="1">
      <alignment horizontal="center" wrapText="1"/>
    </xf>
    <xf numFmtId="0" fontId="3" fillId="0" borderId="0" xfId="0" applyFont="1" applyAlignment="1">
      <alignment horizontal="left" vertical="top" wrapText="1"/>
    </xf>
    <xf numFmtId="0" fontId="2" fillId="0" borderId="2" xfId="0" applyFont="1" applyBorder="1" applyAlignment="1">
      <alignment horizontal="center"/>
    </xf>
    <xf numFmtId="0" fontId="10" fillId="0" borderId="0" xfId="0" applyFont="1" applyAlignment="1">
      <alignment horizontal="center" vertical="center"/>
    </xf>
    <xf numFmtId="165" fontId="13" fillId="0" borderId="21" xfId="1" applyNumberFormat="1" applyFont="1" applyFill="1" applyBorder="1" applyAlignment="1">
      <alignment horizontal="center" vertical="center"/>
    </xf>
    <xf numFmtId="165" fontId="13" fillId="0" borderId="23" xfId="1" applyNumberFormat="1" applyFont="1" applyFill="1" applyBorder="1" applyAlignment="1">
      <alignment horizontal="center" vertical="center"/>
    </xf>
    <xf numFmtId="165" fontId="13" fillId="0" borderId="26" xfId="1" applyNumberFormat="1" applyFont="1" applyFill="1" applyBorder="1" applyAlignment="1">
      <alignment horizontal="center" vertical="center"/>
    </xf>
    <xf numFmtId="0" fontId="11" fillId="0" borderId="7" xfId="2" applyFont="1" applyBorder="1" applyAlignment="1">
      <alignment horizontal="left" vertical="center"/>
    </xf>
    <xf numFmtId="0" fontId="11" fillId="0" borderId="7" xfId="2" applyFont="1" applyBorder="1" applyAlignment="1">
      <alignment horizontal="center" vertical="center"/>
    </xf>
    <xf numFmtId="0" fontId="11" fillId="0" borderId="8" xfId="2" applyFont="1" applyBorder="1" applyAlignment="1">
      <alignment horizontal="center" vertical="center"/>
    </xf>
    <xf numFmtId="0" fontId="11" fillId="0" borderId="9" xfId="2" applyFont="1" applyBorder="1" applyAlignment="1">
      <alignment horizontal="center" vertical="center"/>
    </xf>
    <xf numFmtId="0" fontId="11" fillId="0" borderId="10" xfId="2" applyFont="1" applyBorder="1" applyAlignment="1">
      <alignment horizontal="center" vertical="center"/>
    </xf>
    <xf numFmtId="0" fontId="11" fillId="0" borderId="11" xfId="2" applyFont="1" applyBorder="1" applyAlignment="1">
      <alignment horizontal="center" vertical="center"/>
    </xf>
    <xf numFmtId="0" fontId="11" fillId="3" borderId="15" xfId="3" applyNumberFormat="1" applyFont="1" applyFill="1" applyBorder="1" applyAlignment="1">
      <alignment horizontal="center" vertical="center"/>
    </xf>
    <xf numFmtId="0" fontId="11" fillId="3" borderId="7" xfId="3" applyNumberFormat="1" applyFont="1" applyFill="1" applyBorder="1" applyAlignment="1">
      <alignment horizontal="center" vertical="center"/>
    </xf>
    <xf numFmtId="0" fontId="11" fillId="3" borderId="8" xfId="3" applyNumberFormat="1" applyFont="1" applyFill="1" applyBorder="1" applyAlignment="1">
      <alignment horizontal="center" vertical="center"/>
    </xf>
    <xf numFmtId="0" fontId="11" fillId="3" borderId="15" xfId="2" applyFont="1" applyFill="1" applyBorder="1" applyAlignment="1">
      <alignment horizontal="center" vertical="center"/>
    </xf>
    <xf numFmtId="0" fontId="11" fillId="3" borderId="8" xfId="2" applyFont="1" applyFill="1" applyBorder="1" applyAlignment="1">
      <alignment horizontal="center" vertical="center"/>
    </xf>
  </cellXfs>
  <cellStyles count="5">
    <cellStyle name="Comma" xfId="1" builtinId="3"/>
    <cellStyle name="Comma 10" xfId="4" xr:uid="{F752DB03-EAFD-41DE-8195-B4499E42D7CA}"/>
    <cellStyle name="Comma 2" xfId="3" xr:uid="{177A4C75-AA73-476B-ADE8-725E1B87DE43}"/>
    <cellStyle name="Normal" xfId="0" builtinId="0"/>
    <cellStyle name="Normal 2" xfId="2" xr:uid="{C10A24A9-2A27-4D0A-8A49-8856CDEC40F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jpeg"/><Relationship Id="rId1" Type="http://schemas.openxmlformats.org/officeDocument/2006/relationships/image" Target="../media/image3.jpe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7</xdr:col>
      <xdr:colOff>865</xdr:colOff>
      <xdr:row>11</xdr:row>
      <xdr:rowOff>32905</xdr:rowOff>
    </xdr:from>
    <xdr:to>
      <xdr:col>17</xdr:col>
      <xdr:colOff>551230</xdr:colOff>
      <xdr:row>36</xdr:row>
      <xdr:rowOff>413332</xdr:rowOff>
    </xdr:to>
    <xdr:pic>
      <xdr:nvPicPr>
        <xdr:cNvPr id="2" name="Picture 1">
          <a:extLst>
            <a:ext uri="{FF2B5EF4-FFF2-40B4-BE49-F238E27FC236}">
              <a16:creationId xmlns:a16="http://schemas.microsoft.com/office/drawing/2014/main" id="{C56BC1B5-9621-65B6-03C7-2D3E0867DDFC}"/>
            </a:ext>
          </a:extLst>
        </xdr:cNvPr>
        <xdr:cNvPicPr>
          <a:picLocks noChangeAspect="1"/>
        </xdr:cNvPicPr>
      </xdr:nvPicPr>
      <xdr:blipFill>
        <a:blip xmlns:r="http://schemas.openxmlformats.org/officeDocument/2006/relationships" r:embed="rId1"/>
        <a:stretch>
          <a:fillRect/>
        </a:stretch>
      </xdr:blipFill>
      <xdr:spPr>
        <a:xfrm>
          <a:off x="17630774" y="2145723"/>
          <a:ext cx="9763638" cy="4450200"/>
        </a:xfrm>
        <a:prstGeom prst="rect">
          <a:avLst/>
        </a:prstGeom>
      </xdr:spPr>
    </xdr:pic>
    <xdr:clientData/>
  </xdr:twoCellAnchor>
  <xdr:twoCellAnchor editAs="oneCell">
    <xdr:from>
      <xdr:col>7</xdr:col>
      <xdr:colOff>17319</xdr:colOff>
      <xdr:row>36</xdr:row>
      <xdr:rowOff>623455</xdr:rowOff>
    </xdr:from>
    <xdr:to>
      <xdr:col>17</xdr:col>
      <xdr:colOff>518332</xdr:colOff>
      <xdr:row>55</xdr:row>
      <xdr:rowOff>35557</xdr:rowOff>
    </xdr:to>
    <xdr:pic>
      <xdr:nvPicPr>
        <xdr:cNvPr id="3" name="Picture 2">
          <a:extLst>
            <a:ext uri="{FF2B5EF4-FFF2-40B4-BE49-F238E27FC236}">
              <a16:creationId xmlns:a16="http://schemas.microsoft.com/office/drawing/2014/main" id="{804282E9-6D31-453D-4F1B-0EF9C49268B5}"/>
            </a:ext>
          </a:extLst>
        </xdr:cNvPr>
        <xdr:cNvPicPr>
          <a:picLocks noChangeAspect="1"/>
        </xdr:cNvPicPr>
      </xdr:nvPicPr>
      <xdr:blipFill>
        <a:blip xmlns:r="http://schemas.openxmlformats.org/officeDocument/2006/relationships" r:embed="rId2"/>
        <a:stretch>
          <a:fillRect/>
        </a:stretch>
      </xdr:blipFill>
      <xdr:spPr>
        <a:xfrm>
          <a:off x="17647228" y="6806046"/>
          <a:ext cx="9714286" cy="64952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36636</xdr:colOff>
      <xdr:row>0</xdr:row>
      <xdr:rowOff>14654</xdr:rowOff>
    </xdr:from>
    <xdr:to>
      <xdr:col>3</xdr:col>
      <xdr:colOff>181709</xdr:colOff>
      <xdr:row>1</xdr:row>
      <xdr:rowOff>2598</xdr:rowOff>
    </xdr:to>
    <xdr:pic>
      <xdr:nvPicPr>
        <xdr:cNvPr id="2" name="Picture 1">
          <a:extLst>
            <a:ext uri="{FF2B5EF4-FFF2-40B4-BE49-F238E27FC236}">
              <a16:creationId xmlns:a16="http://schemas.microsoft.com/office/drawing/2014/main" id="{9EF56457-4C8D-4929-ADFA-A6F311D5CC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636" y="14654"/>
          <a:ext cx="1973873" cy="149869"/>
        </a:xfrm>
        <a:prstGeom prst="rect">
          <a:avLst/>
        </a:prstGeom>
      </xdr:spPr>
    </xdr:pic>
    <xdr:clientData/>
  </xdr:twoCellAnchor>
  <xdr:twoCellAnchor editAs="oneCell">
    <xdr:from>
      <xdr:col>0</xdr:col>
      <xdr:colOff>6350</xdr:colOff>
      <xdr:row>0</xdr:row>
      <xdr:rowOff>57150</xdr:rowOff>
    </xdr:from>
    <xdr:to>
      <xdr:col>2</xdr:col>
      <xdr:colOff>13845</xdr:colOff>
      <xdr:row>1</xdr:row>
      <xdr:rowOff>50126</xdr:rowOff>
    </xdr:to>
    <xdr:pic>
      <xdr:nvPicPr>
        <xdr:cNvPr id="3" name="Picture 2">
          <a:extLst>
            <a:ext uri="{FF2B5EF4-FFF2-40B4-BE49-F238E27FC236}">
              <a16:creationId xmlns:a16="http://schemas.microsoft.com/office/drawing/2014/main" id="{0CDD9AED-B28D-4E0E-9270-98E6EA280B5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0" y="57150"/>
          <a:ext cx="1226695" cy="154901"/>
        </a:xfrm>
        <a:prstGeom prst="rect">
          <a:avLst/>
        </a:prstGeom>
      </xdr:spPr>
    </xdr:pic>
    <xdr:clientData/>
  </xdr:twoCellAnchor>
  <xdr:twoCellAnchor editAs="oneCell">
    <xdr:from>
      <xdr:col>23</xdr:col>
      <xdr:colOff>573089</xdr:colOff>
      <xdr:row>88</xdr:row>
      <xdr:rowOff>27723</xdr:rowOff>
    </xdr:from>
    <xdr:to>
      <xdr:col>25</xdr:col>
      <xdr:colOff>441924</xdr:colOff>
      <xdr:row>90</xdr:row>
      <xdr:rowOff>128156</xdr:rowOff>
    </xdr:to>
    <xdr:pic>
      <xdr:nvPicPr>
        <xdr:cNvPr id="4" name="Picture 3">
          <a:extLst>
            <a:ext uri="{FF2B5EF4-FFF2-40B4-BE49-F238E27FC236}">
              <a16:creationId xmlns:a16="http://schemas.microsoft.com/office/drawing/2014/main" id="{38B3B6E6-3412-467E-982A-D3CB14536264}"/>
            </a:ext>
          </a:extLst>
        </xdr:cNvPr>
        <xdr:cNvPicPr>
          <a:picLocks noChangeAspect="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4">
                  <a14:imgEffect>
                    <a14:sharpenSoften amount="50000"/>
                  </a14:imgEffect>
                  <a14:imgEffect>
                    <a14:brightnessContrast bright="40000" contrast="-40000"/>
                  </a14:imgEffect>
                </a14:imgLayer>
              </a14:imgProps>
            </a:ext>
            <a:ext uri="{28A0092B-C50C-407E-A947-70E740481C1C}">
              <a14:useLocalDpi xmlns:a14="http://schemas.microsoft.com/office/drawing/2010/main" val="0"/>
            </a:ext>
          </a:extLst>
        </a:blip>
        <a:srcRect l="14397" t="39241" r="13229" b="28366"/>
        <a:stretch/>
      </xdr:blipFill>
      <xdr:spPr>
        <a:xfrm>
          <a:off x="11650664" y="17934723"/>
          <a:ext cx="1088035" cy="4242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Grek" typeface=""/>
        <a:font script="Cyrl" typeface=""/>
        <a:font script="Jpan" typeface="ＭＳ Ｐゴシック"/>
        <a:font script="Hang" typeface="맑은 고딕"/>
        <a:font script="Hans" typeface="宋体"/>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majorFont>
      <a:minorFont>
        <a:latin typeface="Calibri"/>
        <a:ea typeface=""/>
        <a:cs typeface=""/>
        <a:font script="Grek" typeface=""/>
        <a:font script="Cyrl"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minorFont>
    </a:fontScheme>
    <a:fmtScheme name="Office">
      <a:fillStyleLst>
        <a:solidFill>
          <a:schemeClr val="phClr"/>
        </a:solidFill>
        <a:gradFill rotWithShape="1">
          <a:gsLst>
            <a:gs pos="0">
              <a:schemeClr val="phClr">
                <a:tint val="50000"/>
                <a:shade val="98000"/>
                <a:satMod val="300000"/>
              </a:schemeClr>
            </a:gs>
            <a:gs pos="25000">
              <a:schemeClr val="phClr">
                <a:tint val="37000"/>
                <a:shade val="98000"/>
                <a:satMod val="300000"/>
              </a:schemeClr>
            </a:gs>
            <a:gs pos="100000">
              <a:schemeClr val="phClr">
                <a:tint val="5000"/>
                <a:satMod val="350000"/>
              </a:schemeClr>
            </a:gs>
          </a:gsLst>
          <a:lin ang="16200000" scaled="1"/>
        </a:gradFill>
        <a:gradFill rotWithShape="1">
          <a:gsLst>
            <a:gs pos="0">
              <a:schemeClr val="phClr">
                <a:shade val="75000"/>
                <a:satMod val="160000"/>
              </a:schemeClr>
            </a:gs>
            <a:gs pos="62000">
              <a:schemeClr val="phClr">
                <a:satMod val="125000"/>
              </a:schemeClr>
            </a:gs>
            <a:gs pos="100000">
              <a:schemeClr val="phClr">
                <a:tint val="80000"/>
                <a:satMod val="140000"/>
              </a:schemeClr>
            </a:gs>
          </a:gsLst>
          <a:lin ang="16200000" scaled="0"/>
        </a:gradFill>
      </a:fillStyleLst>
      <a:lnStyleLst>
        <a:ln w="6350" cap="rnd" cmpd="sng" algn="ctr">
          <a:solidFill>
            <a:schemeClr val="ph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63500" dist="25400" dir="5400000">
              <a:srgbClr val="000000">
                <a:alpha val="43137"/>
              </a:srgbClr>
            </a:outerShdw>
          </a:effectLst>
        </a:effectStyle>
        <a:effectStyle>
          <a:effectLst>
            <a:outerShdw blurRad="50800" dist="38100" dir="5400000">
              <a:srgbClr val="000000">
                <a:alpha val="45882"/>
              </a:srgbClr>
            </a:outerShdw>
          </a:effectLst>
          <a:scene3d>
            <a:camera prst="orthographicFront" fov="0">
              <a:rot lat="0" lon="0" rev="0"/>
            </a:camera>
            <a:lightRig rig="contrasting" dir="t">
              <a:rot lat="0" lon="0" rev="16500000"/>
            </a:lightRig>
          </a:scene3d>
          <a:sp3d contourW="12700" prstMaterial="powder">
            <a:bevelT h="50800"/>
            <a:contourClr>
              <a:schemeClr val="phClr"/>
            </a:contourClr>
          </a:sp3d>
        </a:effectStyle>
        <a:effectStyle>
          <a:effectLst>
            <a:reflection blurRad="12700" stA="25000" endPos="28000" dist="38100" dir="5400000" sy="-100000"/>
          </a:effectLst>
          <a:scene3d>
            <a:camera prst="orthographicFront" fov="0">
              <a:rot lat="0" lon="0" rev="0"/>
            </a:camera>
            <a:lightRig rig="threePt" dir="t">
              <a:rot lat="0" lon="0" rev="0"/>
            </a:lightRig>
          </a:scene3d>
          <a:sp3d>
            <a:bevelT w="139700" h="38100"/>
            <a:contourClr>
              <a:schemeClr val="phClr"/>
            </a:contourClr>
          </a:sp3d>
        </a:effectStyle>
      </a:effectStyleLst>
      <a:bgFillStyleLst>
        <a:solidFill>
          <a:schemeClr val="phClr"/>
        </a:solidFill>
        <a:gradFill rotWithShape="1">
          <a:gsLst>
            <a:gs pos="0">
              <a:schemeClr val="phClr">
                <a:shade val="75000"/>
                <a:satMod val="250000"/>
              </a:schemeClr>
            </a:gs>
            <a:gs pos="20000">
              <a:schemeClr val="phClr">
                <a:shade val="85000"/>
                <a:satMod val="175000"/>
              </a:schemeClr>
            </a:gs>
            <a:gs pos="100000">
              <a:schemeClr val="phClr">
                <a:tint val="5000"/>
                <a:satMod val="350000"/>
              </a:schemeClr>
            </a:gs>
          </a:gsLst>
          <a:lin ang="16200000" scaled="1"/>
        </a:gradFill>
        <a:gradFill rotWithShape="1">
          <a:gsLst>
            <a:gs pos="0">
              <a:schemeClr val="phClr">
                <a:shade val="50000"/>
                <a:satMod val="145000"/>
              </a:schemeClr>
            </a:gs>
            <a:gs pos="30000">
              <a:schemeClr val="phClr">
                <a:shade val="65000"/>
                <a:satMod val="155000"/>
              </a:schemeClr>
            </a:gs>
            <a:gs pos="100000">
              <a:schemeClr val="phClr">
                <a:tint val="60000"/>
                <a:satMod val="170000"/>
              </a:schemeClr>
            </a:gs>
          </a:gsLst>
          <a:lin ang="16200000" scaled="1"/>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
  <dimension ref="A1:AA52"/>
  <sheetViews>
    <sheetView tabSelected="1" topLeftCell="H26" zoomScale="85" zoomScaleNormal="85" workbookViewId="0">
      <selection activeCell="T37" sqref="T37"/>
    </sheetView>
  </sheetViews>
  <sheetFormatPr defaultColWidth="9.140625" defaultRowHeight="12.75" x14ac:dyDescent="0.2"/>
  <cols>
    <col min="2" max="2" width="20.42578125" customWidth="1"/>
    <col min="3" max="3" width="15.28515625" customWidth="1"/>
    <col min="4" max="4" width="21.7109375" customWidth="1"/>
    <col min="5" max="5" width="18" customWidth="1"/>
    <col min="6" max="6" width="112.28515625" customWidth="1"/>
    <col min="7" max="7" width="67.42578125" customWidth="1"/>
    <col min="8" max="8" width="9.140625" customWidth="1"/>
    <col min="9" max="9" width="9.5703125" customWidth="1"/>
    <col min="10" max="10" width="10" customWidth="1"/>
    <col min="11" max="11" width="8.28515625" customWidth="1"/>
    <col min="12" max="12" width="9.7109375" customWidth="1"/>
    <col min="13" max="13" width="8.42578125" customWidth="1"/>
    <col min="14" max="14" width="31.85546875" customWidth="1"/>
    <col min="15" max="15" width="14" customWidth="1"/>
    <col min="16" max="16" width="23" customWidth="1"/>
    <col min="17" max="18" width="14" customWidth="1"/>
    <col min="19" max="19" width="11.7109375" customWidth="1"/>
    <col min="20" max="20" width="15" customWidth="1"/>
    <col min="21" max="21" width="11.7109375" customWidth="1"/>
    <col min="22" max="22" width="15.140625" customWidth="1"/>
    <col min="23" max="24" width="11.7109375" customWidth="1"/>
    <col min="25" max="26" width="5.5703125" customWidth="1"/>
    <col min="27" max="27" width="9.7109375" customWidth="1"/>
  </cols>
  <sheetData>
    <row r="1" spans="1:27" s="7" customFormat="1" ht="15.75" x14ac:dyDescent="0.25">
      <c r="A1" s="7" t="s">
        <v>35</v>
      </c>
      <c r="B1" s="7">
        <v>0</v>
      </c>
      <c r="C1" s="7">
        <v>1</v>
      </c>
      <c r="D1" s="7">
        <v>2</v>
      </c>
      <c r="E1" s="7">
        <v>3</v>
      </c>
      <c r="F1" s="7">
        <v>4</v>
      </c>
      <c r="G1" s="7">
        <v>5</v>
      </c>
      <c r="H1" s="7">
        <v>6</v>
      </c>
      <c r="I1" s="7">
        <v>7</v>
      </c>
      <c r="J1" s="7">
        <v>8</v>
      </c>
      <c r="K1" s="7">
        <v>9</v>
      </c>
      <c r="L1" s="7">
        <v>10</v>
      </c>
      <c r="M1" s="7">
        <v>11</v>
      </c>
      <c r="N1" s="7">
        <v>12</v>
      </c>
      <c r="O1" s="7">
        <v>13</v>
      </c>
      <c r="P1" s="7">
        <v>14</v>
      </c>
      <c r="Q1" s="7">
        <v>15</v>
      </c>
      <c r="R1" s="7">
        <v>16</v>
      </c>
      <c r="S1" s="7">
        <v>17</v>
      </c>
      <c r="T1" s="7">
        <v>18</v>
      </c>
      <c r="U1" s="7">
        <v>19</v>
      </c>
      <c r="V1" s="7">
        <v>20</v>
      </c>
      <c r="W1" s="7">
        <v>21</v>
      </c>
      <c r="Y1" s="7">
        <v>22</v>
      </c>
      <c r="Z1" s="7">
        <v>23</v>
      </c>
      <c r="AA1" s="7">
        <v>24</v>
      </c>
    </row>
    <row r="2" spans="1:27" x14ac:dyDescent="0.2">
      <c r="B2" s="4" t="s">
        <v>32</v>
      </c>
    </row>
    <row r="3" spans="1:27" x14ac:dyDescent="0.2">
      <c r="B3" s="1" t="s">
        <v>0</v>
      </c>
      <c r="C3" s="1" t="s">
        <v>1</v>
      </c>
      <c r="D3" s="1" t="s">
        <v>2</v>
      </c>
      <c r="E3" s="1" t="s">
        <v>3</v>
      </c>
      <c r="F3" s="1" t="s">
        <v>4</v>
      </c>
      <c r="G3" s="1" t="s">
        <v>5</v>
      </c>
      <c r="H3" s="1" t="s">
        <v>6</v>
      </c>
      <c r="I3" s="1" t="s">
        <v>7</v>
      </c>
      <c r="J3" s="1" t="s">
        <v>8</v>
      </c>
      <c r="K3" s="1" t="s">
        <v>9</v>
      </c>
      <c r="L3" s="1" t="s">
        <v>10</v>
      </c>
      <c r="M3" s="1" t="s">
        <v>11</v>
      </c>
      <c r="N3" s="1" t="s">
        <v>12</v>
      </c>
      <c r="O3" s="1" t="s">
        <v>13</v>
      </c>
      <c r="P3" s="1" t="s">
        <v>14</v>
      </c>
      <c r="Q3" s="1" t="s">
        <v>15</v>
      </c>
      <c r="R3" s="1" t="s">
        <v>16</v>
      </c>
      <c r="S3" s="1" t="s">
        <v>17</v>
      </c>
      <c r="T3" s="1" t="s">
        <v>18</v>
      </c>
      <c r="U3" s="1" t="s">
        <v>19</v>
      </c>
      <c r="V3" s="1" t="s">
        <v>20</v>
      </c>
      <c r="W3" s="1" t="s">
        <v>21</v>
      </c>
      <c r="X3" s="1"/>
      <c r="Y3" s="1" t="s">
        <v>22</v>
      </c>
      <c r="Z3" s="1" t="s">
        <v>23</v>
      </c>
      <c r="AA3" s="1" t="s">
        <v>24</v>
      </c>
    </row>
    <row r="4" spans="1:27" x14ac:dyDescent="0.2">
      <c r="B4" s="2" t="s">
        <v>25</v>
      </c>
      <c r="C4" s="2" t="s">
        <v>26</v>
      </c>
      <c r="D4" s="2"/>
      <c r="E4" s="2" t="s">
        <v>27</v>
      </c>
      <c r="F4" s="2" t="s">
        <v>28</v>
      </c>
      <c r="G4" s="2" t="s">
        <v>29</v>
      </c>
      <c r="H4" s="2" t="s">
        <v>30</v>
      </c>
      <c r="I4" s="3"/>
      <c r="J4" s="3">
        <v>1420</v>
      </c>
      <c r="K4" s="3"/>
      <c r="L4" s="2"/>
      <c r="M4" s="2"/>
      <c r="N4" s="2" t="s">
        <v>31</v>
      </c>
      <c r="O4" s="2"/>
      <c r="P4" s="2"/>
      <c r="Q4" s="3"/>
      <c r="R4" s="2"/>
      <c r="S4" s="2"/>
      <c r="T4" s="2"/>
      <c r="U4" s="2"/>
      <c r="V4" s="2"/>
      <c r="W4" s="2"/>
      <c r="X4" s="2"/>
      <c r="Y4" s="2"/>
      <c r="Z4" s="2"/>
      <c r="AA4" s="2"/>
    </row>
    <row r="6" spans="1:27" x14ac:dyDescent="0.2">
      <c r="B6" s="5" t="s">
        <v>33</v>
      </c>
      <c r="R6" s="118" t="s">
        <v>62</v>
      </c>
      <c r="S6" s="118"/>
      <c r="T6" s="118"/>
      <c r="U6" s="118"/>
      <c r="V6" s="118"/>
      <c r="W6" s="118"/>
      <c r="X6" s="13"/>
    </row>
    <row r="7" spans="1:27" x14ac:dyDescent="0.2">
      <c r="B7" s="11" t="s">
        <v>0</v>
      </c>
      <c r="C7" s="11" t="s">
        <v>1</v>
      </c>
      <c r="D7" s="11" t="s">
        <v>2</v>
      </c>
      <c r="E7" s="11" t="s">
        <v>3</v>
      </c>
      <c r="F7" s="11" t="s">
        <v>4</v>
      </c>
      <c r="G7" s="11" t="s">
        <v>5</v>
      </c>
      <c r="H7" s="11" t="s">
        <v>6</v>
      </c>
      <c r="I7" s="11" t="s">
        <v>7</v>
      </c>
      <c r="J7" s="11" t="s">
        <v>8</v>
      </c>
      <c r="K7" s="107" t="s">
        <v>9</v>
      </c>
      <c r="L7" s="11" t="s">
        <v>10</v>
      </c>
      <c r="M7" s="107" t="s">
        <v>11</v>
      </c>
      <c r="N7" s="11" t="s">
        <v>12</v>
      </c>
      <c r="O7" s="107" t="s">
        <v>13</v>
      </c>
      <c r="P7" s="107" t="s">
        <v>14</v>
      </c>
      <c r="Q7" s="107" t="s">
        <v>15</v>
      </c>
      <c r="R7" s="107" t="s">
        <v>16</v>
      </c>
      <c r="S7" s="107" t="s">
        <v>17</v>
      </c>
      <c r="T7" s="107" t="s">
        <v>18</v>
      </c>
      <c r="U7" s="107" t="s">
        <v>19</v>
      </c>
      <c r="V7" s="107" t="s">
        <v>20</v>
      </c>
      <c r="W7" s="107" t="s">
        <v>21</v>
      </c>
      <c r="X7" s="107" t="s">
        <v>63</v>
      </c>
      <c r="Y7" s="107" t="s">
        <v>22</v>
      </c>
      <c r="Z7" s="107" t="s">
        <v>23</v>
      </c>
      <c r="AA7" s="107" t="s">
        <v>24</v>
      </c>
    </row>
    <row r="8" spans="1:27" ht="18.75" customHeight="1" x14ac:dyDescent="0.2">
      <c r="B8" s="108" t="s">
        <v>25</v>
      </c>
      <c r="C8" s="108" t="s">
        <v>26</v>
      </c>
      <c r="D8" s="108"/>
      <c r="E8" s="108" t="s">
        <v>27</v>
      </c>
      <c r="F8" s="108" t="s">
        <v>28</v>
      </c>
      <c r="G8" s="108" t="s">
        <v>29</v>
      </c>
      <c r="H8" s="108" t="s">
        <v>30</v>
      </c>
      <c r="I8" s="109">
        <v>1450</v>
      </c>
      <c r="J8" s="110">
        <v>1420</v>
      </c>
      <c r="K8" s="110"/>
      <c r="L8" s="108" t="s">
        <v>60</v>
      </c>
      <c r="M8" s="111">
        <v>135</v>
      </c>
      <c r="N8" s="112" t="s">
        <v>31</v>
      </c>
      <c r="O8" s="113">
        <f>G8+H8</f>
        <v>43</v>
      </c>
      <c r="P8" s="112">
        <f>(F8+G8)*2+4</f>
        <v>132</v>
      </c>
      <c r="Q8" s="114">
        <f>$I$8/3</f>
        <v>483.33333333333331</v>
      </c>
      <c r="R8" s="115" t="s">
        <v>24</v>
      </c>
      <c r="S8" s="115" t="s">
        <v>24</v>
      </c>
      <c r="T8" s="115" t="s">
        <v>24</v>
      </c>
      <c r="U8" s="115" t="s">
        <v>24</v>
      </c>
      <c r="V8" s="115" t="s">
        <v>24</v>
      </c>
      <c r="W8" s="115" t="s">
        <v>24</v>
      </c>
      <c r="X8" s="115" t="s">
        <v>24</v>
      </c>
      <c r="Y8" s="111">
        <v>861</v>
      </c>
      <c r="Z8" s="111">
        <v>638</v>
      </c>
      <c r="AA8" s="111"/>
    </row>
    <row r="9" spans="1:27" ht="18.75" customHeight="1" x14ac:dyDescent="0.2">
      <c r="B9" s="111"/>
      <c r="C9" s="111"/>
      <c r="D9" s="111"/>
      <c r="E9" s="111"/>
      <c r="F9" s="111"/>
      <c r="G9" s="111"/>
      <c r="H9" s="111"/>
      <c r="I9" s="109"/>
      <c r="J9" s="109"/>
      <c r="K9" s="109"/>
      <c r="L9" s="111"/>
      <c r="M9" s="111"/>
      <c r="N9" s="112" t="s">
        <v>61</v>
      </c>
      <c r="O9" s="113">
        <v>43</v>
      </c>
      <c r="P9" s="112">
        <v>132</v>
      </c>
      <c r="Q9" s="114">
        <f t="shared" ref="Q9:Q10" si="0">$I$8/3</f>
        <v>483.33333333333331</v>
      </c>
      <c r="R9" s="116" t="s">
        <v>48</v>
      </c>
      <c r="S9" s="116" t="s">
        <v>48</v>
      </c>
      <c r="T9" s="116" t="s">
        <v>48</v>
      </c>
      <c r="U9" s="116" t="s">
        <v>48</v>
      </c>
      <c r="V9" s="116" t="s">
        <v>48</v>
      </c>
      <c r="W9" s="116" t="s">
        <v>48</v>
      </c>
      <c r="X9" s="116" t="s">
        <v>48</v>
      </c>
      <c r="Y9" s="111"/>
      <c r="Z9" s="111"/>
      <c r="AA9" s="111"/>
    </row>
    <row r="10" spans="1:27" ht="18.75" customHeight="1" x14ac:dyDescent="0.2">
      <c r="B10" s="111"/>
      <c r="C10" s="111"/>
      <c r="D10" s="111"/>
      <c r="E10" s="111"/>
      <c r="F10" s="111"/>
      <c r="G10" s="111"/>
      <c r="H10" s="111"/>
      <c r="I10" s="109"/>
      <c r="J10" s="109"/>
      <c r="K10" s="109"/>
      <c r="L10" s="111"/>
      <c r="M10" s="111"/>
      <c r="N10" s="112"/>
      <c r="O10" s="113">
        <v>43</v>
      </c>
      <c r="P10" s="112">
        <v>132</v>
      </c>
      <c r="Q10" s="114">
        <f t="shared" si="0"/>
        <v>483.33333333333331</v>
      </c>
      <c r="R10" s="111"/>
      <c r="S10" s="111"/>
      <c r="T10" s="111"/>
      <c r="U10" s="111"/>
      <c r="V10" s="111"/>
      <c r="W10" s="111"/>
      <c r="X10" s="111"/>
      <c r="Y10" s="111"/>
      <c r="Z10" s="111"/>
      <c r="AA10" s="111"/>
    </row>
    <row r="11" spans="1:27" ht="18.75" customHeight="1" x14ac:dyDescent="0.2">
      <c r="B11" s="111"/>
      <c r="C11" s="111"/>
      <c r="D11" s="111"/>
      <c r="E11" s="111"/>
      <c r="F11" s="111"/>
      <c r="G11" s="111"/>
      <c r="H11" s="111"/>
      <c r="I11" s="109"/>
      <c r="J11" s="109"/>
      <c r="K11" s="109"/>
      <c r="L11" s="111"/>
      <c r="M11" s="111"/>
      <c r="N11" s="111"/>
      <c r="O11" s="111"/>
      <c r="P11" s="111"/>
      <c r="Q11" s="109"/>
      <c r="R11" s="115" t="s">
        <v>64</v>
      </c>
      <c r="S11" s="116"/>
      <c r="T11" s="115" t="s">
        <v>64</v>
      </c>
      <c r="U11" s="116"/>
      <c r="V11" s="116"/>
      <c r="W11" s="116"/>
      <c r="X11" s="115" t="s">
        <v>64</v>
      </c>
      <c r="Y11" s="111"/>
      <c r="Z11" s="111"/>
      <c r="AA11" s="111"/>
    </row>
    <row r="12" spans="1:27" ht="18.75" customHeight="1" x14ac:dyDescent="0.2">
      <c r="B12" s="9"/>
      <c r="C12" s="9"/>
      <c r="D12" s="9"/>
      <c r="E12" s="9"/>
      <c r="F12" s="9"/>
      <c r="G12" s="9"/>
      <c r="H12" s="9"/>
      <c r="I12" s="10"/>
      <c r="J12" s="10"/>
      <c r="K12" s="10"/>
      <c r="L12" s="9"/>
      <c r="M12" s="9"/>
      <c r="N12" s="9"/>
      <c r="O12" s="9"/>
      <c r="P12" s="9"/>
      <c r="Q12" s="10"/>
      <c r="R12" s="9"/>
      <c r="S12" s="9"/>
      <c r="T12" s="9"/>
      <c r="U12" s="9"/>
      <c r="V12" s="9"/>
      <c r="W12" s="9"/>
      <c r="X12" s="9"/>
      <c r="Y12" s="9"/>
      <c r="Z12" s="9"/>
      <c r="AA12" s="9"/>
    </row>
    <row r="13" spans="1:27" ht="18.75" customHeight="1" x14ac:dyDescent="0.2">
      <c r="B13" s="9"/>
      <c r="C13" s="9"/>
      <c r="D13" s="9"/>
      <c r="E13" s="9"/>
      <c r="F13" s="9"/>
      <c r="G13" s="9"/>
      <c r="H13" s="9"/>
      <c r="I13" s="10"/>
      <c r="J13" s="10"/>
      <c r="K13" s="10"/>
      <c r="L13" s="9"/>
      <c r="M13" s="9"/>
      <c r="N13" s="9"/>
      <c r="O13" s="9"/>
      <c r="P13" s="9"/>
      <c r="Q13" s="10"/>
      <c r="R13" s="9"/>
      <c r="S13" s="9"/>
      <c r="T13" s="9"/>
      <c r="U13" s="9"/>
      <c r="V13" s="9"/>
      <c r="W13" s="9"/>
      <c r="X13" s="9"/>
      <c r="Y13" s="9"/>
      <c r="Z13" s="9"/>
      <c r="AA13" s="9"/>
    </row>
    <row r="14" spans="1:27" x14ac:dyDescent="0.2">
      <c r="B14" s="6"/>
      <c r="C14" s="6"/>
      <c r="D14" s="6"/>
      <c r="E14" s="6"/>
      <c r="F14" s="6"/>
      <c r="G14" s="6"/>
      <c r="H14" s="6"/>
      <c r="J14" s="6"/>
      <c r="L14" s="6"/>
    </row>
    <row r="16" spans="1:27" x14ac:dyDescent="0.2">
      <c r="B16" s="5" t="s">
        <v>35</v>
      </c>
      <c r="C16">
        <v>0</v>
      </c>
      <c r="D16" s="5" t="s">
        <v>36</v>
      </c>
      <c r="E16" s="6" t="s">
        <v>34</v>
      </c>
    </row>
    <row r="17" spans="3:6" x14ac:dyDescent="0.2">
      <c r="C17">
        <v>1</v>
      </c>
      <c r="D17" s="5" t="s">
        <v>37</v>
      </c>
      <c r="E17" s="6" t="s">
        <v>34</v>
      </c>
    </row>
    <row r="18" spans="3:6" x14ac:dyDescent="0.2">
      <c r="C18">
        <v>2</v>
      </c>
      <c r="D18" s="5" t="s">
        <v>38</v>
      </c>
      <c r="E18" s="6" t="s">
        <v>34</v>
      </c>
    </row>
    <row r="19" spans="3:6" x14ac:dyDescent="0.2">
      <c r="C19">
        <v>3</v>
      </c>
      <c r="D19" s="5" t="s">
        <v>39</v>
      </c>
      <c r="E19" s="6" t="s">
        <v>34</v>
      </c>
    </row>
    <row r="20" spans="3:6" x14ac:dyDescent="0.2">
      <c r="C20">
        <v>4</v>
      </c>
      <c r="D20" s="5" t="s">
        <v>40</v>
      </c>
      <c r="E20" s="6" t="s">
        <v>34</v>
      </c>
    </row>
    <row r="21" spans="3:6" x14ac:dyDescent="0.2">
      <c r="C21">
        <v>5</v>
      </c>
      <c r="D21" s="5" t="s">
        <v>41</v>
      </c>
      <c r="E21" s="6" t="s">
        <v>34</v>
      </c>
    </row>
    <row r="22" spans="3:6" x14ac:dyDescent="0.2">
      <c r="C22">
        <v>6</v>
      </c>
      <c r="D22" s="5" t="s">
        <v>42</v>
      </c>
      <c r="E22" s="6" t="s">
        <v>34</v>
      </c>
    </row>
    <row r="23" spans="3:6" x14ac:dyDescent="0.2">
      <c r="C23">
        <v>7</v>
      </c>
      <c r="D23" s="5" t="s">
        <v>7</v>
      </c>
      <c r="E23" s="8" t="s">
        <v>55</v>
      </c>
      <c r="F23" s="5" t="s">
        <v>102</v>
      </c>
    </row>
    <row r="24" spans="3:6" x14ac:dyDescent="0.2">
      <c r="C24">
        <v>8</v>
      </c>
      <c r="D24" s="5" t="s">
        <v>8</v>
      </c>
      <c r="E24" s="6" t="s">
        <v>34</v>
      </c>
    </row>
    <row r="25" spans="3:6" x14ac:dyDescent="0.2">
      <c r="C25">
        <v>9</v>
      </c>
      <c r="D25" s="5" t="s">
        <v>9</v>
      </c>
      <c r="E25" s="8" t="s">
        <v>55</v>
      </c>
      <c r="F25" t="s">
        <v>100</v>
      </c>
    </row>
    <row r="26" spans="3:6" x14ac:dyDescent="0.2">
      <c r="C26">
        <v>10</v>
      </c>
      <c r="D26" s="5" t="s">
        <v>43</v>
      </c>
      <c r="E26" s="6" t="s">
        <v>34</v>
      </c>
    </row>
    <row r="27" spans="3:6" x14ac:dyDescent="0.2">
      <c r="C27">
        <v>11</v>
      </c>
      <c r="D27" s="5" t="s">
        <v>44</v>
      </c>
      <c r="E27" s="8" t="s">
        <v>55</v>
      </c>
      <c r="F27" s="5" t="s">
        <v>103</v>
      </c>
    </row>
    <row r="28" spans="3:6" x14ac:dyDescent="0.2">
      <c r="C28">
        <v>12</v>
      </c>
      <c r="D28" s="5" t="s">
        <v>45</v>
      </c>
      <c r="E28" s="6" t="s">
        <v>34</v>
      </c>
      <c r="F28" s="5" t="s">
        <v>56</v>
      </c>
    </row>
    <row r="29" spans="3:6" x14ac:dyDescent="0.2">
      <c r="C29">
        <v>13</v>
      </c>
      <c r="D29" s="5" t="s">
        <v>46</v>
      </c>
      <c r="E29" s="8" t="s">
        <v>55</v>
      </c>
      <c r="F29" s="5" t="s">
        <v>104</v>
      </c>
    </row>
    <row r="30" spans="3:6" x14ac:dyDescent="0.2">
      <c r="C30">
        <v>14</v>
      </c>
      <c r="D30" s="5" t="s">
        <v>47</v>
      </c>
      <c r="E30" s="8" t="s">
        <v>55</v>
      </c>
      <c r="F30" s="5" t="s">
        <v>105</v>
      </c>
    </row>
    <row r="31" spans="3:6" x14ac:dyDescent="0.2">
      <c r="C31">
        <v>15</v>
      </c>
      <c r="D31" s="5" t="s">
        <v>48</v>
      </c>
      <c r="E31" s="8" t="s">
        <v>55</v>
      </c>
      <c r="F31" s="5" t="s">
        <v>106</v>
      </c>
    </row>
    <row r="32" spans="3:6" ht="12.75" customHeight="1" x14ac:dyDescent="0.2">
      <c r="C32">
        <v>16</v>
      </c>
      <c r="D32" s="5" t="s">
        <v>49</v>
      </c>
      <c r="E32" s="8" t="s">
        <v>55</v>
      </c>
      <c r="F32" s="117" t="s">
        <v>57</v>
      </c>
    </row>
    <row r="33" spans="3:7" x14ac:dyDescent="0.2">
      <c r="C33">
        <v>17</v>
      </c>
      <c r="D33" s="5" t="s">
        <v>50</v>
      </c>
      <c r="E33" s="8" t="s">
        <v>55</v>
      </c>
      <c r="F33" s="117"/>
    </row>
    <row r="34" spans="3:7" x14ac:dyDescent="0.2">
      <c r="C34">
        <v>18</v>
      </c>
      <c r="D34" s="5" t="s">
        <v>51</v>
      </c>
      <c r="E34" s="8" t="s">
        <v>55</v>
      </c>
      <c r="F34" s="117"/>
    </row>
    <row r="35" spans="3:7" x14ac:dyDescent="0.2">
      <c r="C35">
        <v>19</v>
      </c>
      <c r="D35" s="5" t="s">
        <v>52</v>
      </c>
      <c r="E35" s="8" t="s">
        <v>55</v>
      </c>
      <c r="F35" s="117"/>
    </row>
    <row r="36" spans="3:7" x14ac:dyDescent="0.2">
      <c r="C36">
        <v>20</v>
      </c>
      <c r="D36" s="5" t="s">
        <v>53</v>
      </c>
      <c r="E36" s="8" t="s">
        <v>55</v>
      </c>
      <c r="F36" s="117"/>
    </row>
    <row r="37" spans="3:7" ht="336.75" customHeight="1" x14ac:dyDescent="0.2">
      <c r="C37">
        <v>21</v>
      </c>
      <c r="D37" s="5" t="s">
        <v>54</v>
      </c>
      <c r="E37" s="8" t="s">
        <v>55</v>
      </c>
      <c r="F37" s="117"/>
      <c r="G37" s="12" t="s">
        <v>59</v>
      </c>
    </row>
    <row r="38" spans="3:7" x14ac:dyDescent="0.2">
      <c r="C38">
        <v>22</v>
      </c>
      <c r="D38" s="5" t="s">
        <v>58</v>
      </c>
      <c r="E38" s="8" t="s">
        <v>55</v>
      </c>
      <c r="F38" s="117"/>
    </row>
    <row r="39" spans="3:7" x14ac:dyDescent="0.2">
      <c r="C39">
        <v>22</v>
      </c>
      <c r="D39" s="5" t="s">
        <v>22</v>
      </c>
      <c r="E39" s="8" t="s">
        <v>55</v>
      </c>
      <c r="F39" s="5" t="s">
        <v>107</v>
      </c>
    </row>
    <row r="40" spans="3:7" x14ac:dyDescent="0.2">
      <c r="C40">
        <v>23</v>
      </c>
      <c r="D40" s="5" t="s">
        <v>23</v>
      </c>
      <c r="E40" s="8" t="s">
        <v>55</v>
      </c>
      <c r="F40" s="5" t="s">
        <v>108</v>
      </c>
    </row>
    <row r="41" spans="3:7" x14ac:dyDescent="0.2">
      <c r="C41">
        <v>24</v>
      </c>
      <c r="D41" s="5" t="s">
        <v>24</v>
      </c>
      <c r="E41" s="8" t="s">
        <v>55</v>
      </c>
      <c r="F41" s="5" t="s">
        <v>101</v>
      </c>
    </row>
    <row r="52" spans="5:5" x14ac:dyDescent="0.2">
      <c r="E52" s="5"/>
    </row>
  </sheetData>
  <mergeCells count="2">
    <mergeCell ref="F32:F38"/>
    <mergeCell ref="R6:W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7FDBB-9279-45B9-B818-4461C0EC2116}">
  <dimension ref="A1:AF98"/>
  <sheetViews>
    <sheetView workbookViewId="0">
      <selection activeCell="R18" sqref="R18"/>
    </sheetView>
  </sheetViews>
  <sheetFormatPr defaultRowHeight="12.75" x14ac:dyDescent="0.2"/>
  <cols>
    <col min="1" max="1" width="4.140625" style="84" customWidth="1"/>
    <col min="2" max="2" width="4" style="85" customWidth="1"/>
    <col min="3" max="3" width="6.28515625" style="84" customWidth="1"/>
    <col min="4" max="4" width="5.42578125" style="84" customWidth="1"/>
    <col min="5" max="5" width="5.5703125" style="84" customWidth="1"/>
    <col min="6" max="6" width="5.42578125" style="84" customWidth="1"/>
    <col min="7" max="7" width="8.140625" style="84" customWidth="1"/>
    <col min="8" max="8" width="8.42578125" style="84" customWidth="1"/>
    <col min="9" max="9" width="3.28515625" style="84" hidden="1" customWidth="1"/>
    <col min="10" max="10" width="3.5703125" style="84" hidden="1" customWidth="1"/>
    <col min="11" max="11" width="3.85546875" style="86" customWidth="1"/>
    <col min="12" max="12" width="4.7109375" style="84" customWidth="1"/>
    <col min="13" max="13" width="5" style="84" customWidth="1"/>
    <col min="14" max="14" width="27.140625" style="84" customWidth="1"/>
    <col min="15" max="16" width="6.7109375" style="84" customWidth="1"/>
    <col min="17" max="17" width="8" style="84" customWidth="1"/>
    <col min="18" max="24" width="9.42578125" style="87" customWidth="1"/>
    <col min="25" max="25" width="8.140625" style="106" customWidth="1"/>
    <col min="26" max="26" width="7.5703125" style="88" customWidth="1"/>
    <col min="27" max="27" width="16.7109375" style="84" customWidth="1"/>
  </cols>
  <sheetData>
    <row r="1" spans="1:32" ht="13.5" thickBot="1" x14ac:dyDescent="0.25">
      <c r="A1" s="14"/>
      <c r="B1" s="15"/>
      <c r="C1" s="15"/>
      <c r="D1" s="16"/>
      <c r="E1" s="17"/>
      <c r="F1" s="17"/>
      <c r="G1" s="123" t="s">
        <v>65</v>
      </c>
      <c r="H1" s="123"/>
      <c r="I1" s="123"/>
      <c r="J1" s="123"/>
      <c r="K1" s="123"/>
      <c r="L1" s="123"/>
      <c r="M1" s="123"/>
      <c r="N1" s="124" t="s">
        <v>66</v>
      </c>
      <c r="O1" s="124"/>
      <c r="P1" s="124"/>
      <c r="Q1" s="124"/>
      <c r="R1" s="124"/>
      <c r="S1" s="124"/>
      <c r="T1" s="124"/>
      <c r="U1" s="124"/>
      <c r="V1" s="125"/>
      <c r="W1" s="126" t="s">
        <v>67</v>
      </c>
      <c r="X1" s="127"/>
      <c r="Y1" s="128"/>
      <c r="Z1" s="18">
        <v>1</v>
      </c>
      <c r="AA1" s="19"/>
    </row>
    <row r="2" spans="1:32" ht="14.25" thickBot="1" x14ac:dyDescent="0.25">
      <c r="A2" s="20" t="s">
        <v>68</v>
      </c>
      <c r="B2" s="21" t="s">
        <v>69</v>
      </c>
      <c r="C2" s="22" t="s">
        <v>70</v>
      </c>
      <c r="D2" s="129" t="s">
        <v>71</v>
      </c>
      <c r="E2" s="130"/>
      <c r="F2" s="131"/>
      <c r="G2" s="23" t="s">
        <v>72</v>
      </c>
      <c r="H2" s="23" t="s">
        <v>73</v>
      </c>
      <c r="I2" s="23" t="s">
        <v>74</v>
      </c>
      <c r="J2" s="23" t="s">
        <v>75</v>
      </c>
      <c r="K2" s="24" t="s">
        <v>76</v>
      </c>
      <c r="L2" s="25" t="s">
        <v>43</v>
      </c>
      <c r="M2" s="26" t="s">
        <v>44</v>
      </c>
      <c r="N2" s="27" t="s">
        <v>77</v>
      </c>
      <c r="O2" s="132" t="s">
        <v>71</v>
      </c>
      <c r="P2" s="133"/>
      <c r="Q2" s="28" t="s">
        <v>78</v>
      </c>
      <c r="R2" s="29" t="s">
        <v>79</v>
      </c>
      <c r="S2" s="30" t="s">
        <v>50</v>
      </c>
      <c r="T2" s="30" t="s">
        <v>80</v>
      </c>
      <c r="U2" s="30" t="s">
        <v>52</v>
      </c>
      <c r="V2" s="30" t="s">
        <v>81</v>
      </c>
      <c r="W2" s="30" t="s">
        <v>54</v>
      </c>
      <c r="X2" s="30" t="s">
        <v>63</v>
      </c>
      <c r="Y2" s="31" t="s">
        <v>22</v>
      </c>
      <c r="Z2" s="32" t="s">
        <v>82</v>
      </c>
      <c r="AA2" s="33" t="s">
        <v>83</v>
      </c>
    </row>
    <row r="3" spans="1:32" x14ac:dyDescent="0.2">
      <c r="A3" s="43" t="s">
        <v>94</v>
      </c>
      <c r="B3" s="44"/>
      <c r="C3" s="45"/>
      <c r="D3" s="46"/>
      <c r="E3" s="46"/>
      <c r="F3" s="46"/>
      <c r="G3" s="47"/>
      <c r="H3" s="48"/>
      <c r="I3" s="49"/>
      <c r="J3" s="50"/>
      <c r="K3" s="51"/>
      <c r="L3" s="51"/>
      <c r="M3" s="51"/>
      <c r="N3" s="49" t="s">
        <v>90</v>
      </c>
      <c r="O3" s="52">
        <f>(E4+F4)</f>
        <v>46</v>
      </c>
      <c r="P3" s="53">
        <f>(D4+E4)*2+4</f>
        <v>139</v>
      </c>
      <c r="Q3" s="35">
        <f>(P4*Q4)/P3</f>
        <v>196.66666666666666</v>
      </c>
      <c r="R3" s="49"/>
      <c r="S3" s="49"/>
      <c r="T3" s="54" t="s">
        <v>91</v>
      </c>
      <c r="U3" s="55" t="s">
        <v>85</v>
      </c>
      <c r="V3" s="37" t="s">
        <v>86</v>
      </c>
      <c r="W3" s="37" t="s">
        <v>86</v>
      </c>
      <c r="X3" s="38" t="s">
        <v>87</v>
      </c>
      <c r="Y3" s="56"/>
      <c r="Z3" s="57"/>
      <c r="AA3" s="120" t="s">
        <v>95</v>
      </c>
    </row>
    <row r="4" spans="1:32" x14ac:dyDescent="0.2">
      <c r="A4" s="58" t="s">
        <v>89</v>
      </c>
      <c r="B4" s="59" t="s">
        <v>92</v>
      </c>
      <c r="C4" s="60" t="s">
        <v>88</v>
      </c>
      <c r="D4" s="61">
        <v>35</v>
      </c>
      <c r="E4" s="61">
        <v>32.5</v>
      </c>
      <c r="F4" s="61">
        <v>13.5</v>
      </c>
      <c r="G4" s="62">
        <f>1205+20-635</f>
        <v>590</v>
      </c>
      <c r="H4" s="63">
        <v>1205</v>
      </c>
      <c r="I4" s="64">
        <f>G4-H4</f>
        <v>-615</v>
      </c>
      <c r="J4" s="65">
        <v>1</v>
      </c>
      <c r="K4" s="66">
        <v>3</v>
      </c>
      <c r="L4" s="67" t="s">
        <v>60</v>
      </c>
      <c r="M4" s="68">
        <f>O3+O4+O5+2</f>
        <v>140</v>
      </c>
      <c r="N4" s="69" t="s">
        <v>93</v>
      </c>
      <c r="O4" s="70">
        <f>(E4+F4)</f>
        <v>46</v>
      </c>
      <c r="P4" s="71">
        <f>(D4+E4)*2+4</f>
        <v>139</v>
      </c>
      <c r="Q4" s="39">
        <f>(G3+G4+G5)/3</f>
        <v>196.66666666666666</v>
      </c>
      <c r="R4" s="64"/>
      <c r="S4" s="64"/>
      <c r="T4" s="72">
        <f>Y4*0.15</f>
        <v>57.406999999999996</v>
      </c>
      <c r="U4" s="64">
        <f>Y4*0.125*1.4</f>
        <v>66.974833333333322</v>
      </c>
      <c r="V4" s="40">
        <f>Y4*0.1</f>
        <v>38.271333333333331</v>
      </c>
      <c r="W4" s="73">
        <f>Y4*0.1*1.36</f>
        <v>52.049013333333335</v>
      </c>
      <c r="X4" s="34">
        <f>Y4*0.14</f>
        <v>53.579866666666668</v>
      </c>
      <c r="Y4" s="74">
        <f>(M4*P4)/10000*Q4</f>
        <v>382.71333333333331</v>
      </c>
      <c r="Z4" s="75">
        <f>(P4/100)*Q4</f>
        <v>273.36666666666662</v>
      </c>
      <c r="AA4" s="121"/>
    </row>
    <row r="5" spans="1:32" ht="13.5" thickBot="1" x14ac:dyDescent="0.25">
      <c r="A5" s="58"/>
      <c r="B5" s="59"/>
      <c r="C5" s="76"/>
      <c r="D5" s="61"/>
      <c r="E5" s="61"/>
      <c r="F5" s="61"/>
      <c r="G5" s="62"/>
      <c r="H5" s="63"/>
      <c r="I5" s="77"/>
      <c r="J5" s="77"/>
      <c r="K5" s="77"/>
      <c r="L5" s="77"/>
      <c r="M5" s="77"/>
      <c r="N5" s="83" t="s">
        <v>96</v>
      </c>
      <c r="O5" s="79">
        <f>(E4+F4)</f>
        <v>46</v>
      </c>
      <c r="P5" s="79">
        <f>(D4+E4)*2+4</f>
        <v>139</v>
      </c>
      <c r="Q5" s="41">
        <f>(P4*Q4)/P5</f>
        <v>196.66666666666666</v>
      </c>
      <c r="R5" s="77"/>
      <c r="S5" s="77"/>
      <c r="T5" s="42"/>
      <c r="U5" s="80"/>
      <c r="V5" s="77"/>
      <c r="W5" s="77"/>
      <c r="X5" s="80"/>
      <c r="Y5" s="81"/>
      <c r="Z5" s="82"/>
      <c r="AA5" s="122"/>
    </row>
    <row r="6" spans="1:32" x14ac:dyDescent="0.2">
      <c r="A6" s="43" t="s">
        <v>94</v>
      </c>
      <c r="B6" s="44"/>
      <c r="C6" s="45"/>
      <c r="D6" s="46"/>
      <c r="E6" s="46"/>
      <c r="F6" s="46"/>
      <c r="G6" s="47"/>
      <c r="H6" s="48"/>
      <c r="I6" s="49"/>
      <c r="J6" s="50"/>
      <c r="K6" s="51"/>
      <c r="L6" s="51"/>
      <c r="M6" s="51"/>
      <c r="N6" s="49" t="s">
        <v>90</v>
      </c>
      <c r="O6" s="52"/>
      <c r="P6" s="53"/>
      <c r="Q6" s="35"/>
      <c r="R6" s="49"/>
      <c r="S6" s="49"/>
      <c r="T6" s="54" t="s">
        <v>91</v>
      </c>
      <c r="U6" s="55" t="s">
        <v>85</v>
      </c>
      <c r="V6" s="37" t="s">
        <v>86</v>
      </c>
      <c r="W6" s="37" t="s">
        <v>86</v>
      </c>
      <c r="X6" s="38" t="s">
        <v>87</v>
      </c>
      <c r="Y6" s="56"/>
      <c r="Z6" s="57"/>
      <c r="AA6" s="120" t="s">
        <v>95</v>
      </c>
    </row>
    <row r="7" spans="1:32" x14ac:dyDescent="0.2">
      <c r="A7" s="58" t="s">
        <v>89</v>
      </c>
      <c r="B7" s="59" t="s">
        <v>92</v>
      </c>
      <c r="C7" s="60" t="s">
        <v>88</v>
      </c>
      <c r="D7" s="61">
        <v>35</v>
      </c>
      <c r="E7" s="61">
        <v>32.5</v>
      </c>
      <c r="F7" s="61">
        <v>13.5</v>
      </c>
      <c r="G7" s="62">
        <f>220*3</f>
        <v>660</v>
      </c>
      <c r="H7" s="63">
        <v>1205</v>
      </c>
      <c r="I7" s="64">
        <f>G7-H7</f>
        <v>-545</v>
      </c>
      <c r="J7" s="65">
        <v>1</v>
      </c>
      <c r="K7" s="66">
        <v>3</v>
      </c>
      <c r="L7" s="67" t="s">
        <v>60</v>
      </c>
      <c r="M7" s="68">
        <f>O6+O7+O8</f>
        <v>140</v>
      </c>
      <c r="N7" s="69" t="s">
        <v>93</v>
      </c>
      <c r="O7" s="70">
        <v>140</v>
      </c>
      <c r="P7" s="71">
        <f>(D7+E7)*2+4</f>
        <v>139</v>
      </c>
      <c r="Q7" s="39">
        <f>(G6+G7+G8)/3</f>
        <v>220</v>
      </c>
      <c r="R7" s="64"/>
      <c r="S7" s="64"/>
      <c r="T7" s="72">
        <f>Y7*0.15</f>
        <v>64.218000000000004</v>
      </c>
      <c r="U7" s="64">
        <f>Y7*0.125*1.4</f>
        <v>74.920999999999992</v>
      </c>
      <c r="V7" s="40">
        <f>Y7*0.1</f>
        <v>42.812000000000005</v>
      </c>
      <c r="W7" s="73">
        <f>Y7*0.1*1.36</f>
        <v>58.224320000000013</v>
      </c>
      <c r="X7" s="34">
        <f>Y7*0.14</f>
        <v>59.936800000000005</v>
      </c>
      <c r="Y7" s="74">
        <f>(M7*P7)/10000*Q7</f>
        <v>428.12</v>
      </c>
      <c r="Z7" s="75">
        <f>(P7/100)*Q7</f>
        <v>305.79999999999995</v>
      </c>
      <c r="AA7" s="121"/>
    </row>
    <row r="8" spans="1:32" ht="13.5" thickBot="1" x14ac:dyDescent="0.25">
      <c r="A8" s="58"/>
      <c r="B8" s="59"/>
      <c r="C8" s="76"/>
      <c r="D8" s="61"/>
      <c r="E8" s="61"/>
      <c r="F8" s="61"/>
      <c r="G8" s="62"/>
      <c r="H8" s="63"/>
      <c r="I8" s="77"/>
      <c r="J8" s="77"/>
      <c r="K8" s="77"/>
      <c r="L8" s="77"/>
      <c r="M8" s="77"/>
      <c r="N8" s="83" t="s">
        <v>96</v>
      </c>
      <c r="O8" s="79"/>
      <c r="P8" s="79"/>
      <c r="Q8" s="41"/>
      <c r="R8" s="77"/>
      <c r="S8" s="77"/>
      <c r="T8" s="42"/>
      <c r="U8" s="80"/>
      <c r="V8" s="77"/>
      <c r="W8" s="77"/>
      <c r="X8" s="80"/>
      <c r="Y8" s="81"/>
      <c r="Z8" s="82"/>
      <c r="AA8" s="122"/>
    </row>
    <row r="9" spans="1:32" x14ac:dyDescent="0.2">
      <c r="A9" s="43" t="s">
        <v>97</v>
      </c>
      <c r="B9" s="44"/>
      <c r="C9" s="45"/>
      <c r="D9" s="46"/>
      <c r="E9" s="46"/>
      <c r="F9" s="46"/>
      <c r="G9" s="47"/>
      <c r="H9" s="48"/>
      <c r="I9" s="49"/>
      <c r="J9" s="50"/>
      <c r="K9" s="51"/>
      <c r="L9" s="51"/>
      <c r="M9" s="51"/>
      <c r="N9" s="49" t="s">
        <v>90</v>
      </c>
      <c r="O9" s="52">
        <f>(E10+F10)</f>
        <v>42.5</v>
      </c>
      <c r="P9" s="53">
        <f>(D10+E10)*2+4</f>
        <v>109</v>
      </c>
      <c r="Q9" s="35">
        <f>(P10*Q10)/P9</f>
        <v>73.333333333333329</v>
      </c>
      <c r="R9" s="49"/>
      <c r="S9" s="49"/>
      <c r="T9" s="36" t="s">
        <v>84</v>
      </c>
      <c r="U9" s="37" t="s">
        <v>85</v>
      </c>
      <c r="V9" s="37" t="s">
        <v>86</v>
      </c>
      <c r="W9" s="37" t="s">
        <v>86</v>
      </c>
      <c r="X9" s="38" t="s">
        <v>87</v>
      </c>
      <c r="Y9" s="56"/>
      <c r="Z9" s="57"/>
      <c r="AA9" s="120" t="s">
        <v>98</v>
      </c>
    </row>
    <row r="10" spans="1:32" x14ac:dyDescent="0.2">
      <c r="A10" s="58" t="s">
        <v>89</v>
      </c>
      <c r="B10" s="59" t="s">
        <v>92</v>
      </c>
      <c r="C10" s="60" t="s">
        <v>88</v>
      </c>
      <c r="D10" s="61">
        <v>31</v>
      </c>
      <c r="E10" s="61">
        <v>21.5</v>
      </c>
      <c r="F10" s="61">
        <v>21</v>
      </c>
      <c r="G10" s="62">
        <f>205+15</f>
        <v>220</v>
      </c>
      <c r="H10" s="63">
        <v>205</v>
      </c>
      <c r="I10" s="64">
        <f>G10-H10</f>
        <v>15</v>
      </c>
      <c r="J10" s="65">
        <v>1</v>
      </c>
      <c r="K10" s="66">
        <v>4</v>
      </c>
      <c r="L10" s="67" t="s">
        <v>60</v>
      </c>
      <c r="M10" s="68">
        <f>O9+O10+O11+2+5</f>
        <v>134.5</v>
      </c>
      <c r="N10" s="69" t="s">
        <v>93</v>
      </c>
      <c r="O10" s="70">
        <f>(E10+F10)</f>
        <v>42.5</v>
      </c>
      <c r="P10" s="71">
        <f>(D10+E10)*2+4</f>
        <v>109</v>
      </c>
      <c r="Q10" s="39">
        <f>(G9+G10+G11)/3</f>
        <v>73.333333333333329</v>
      </c>
      <c r="R10" s="64"/>
      <c r="S10" s="64"/>
      <c r="T10" s="72">
        <f>Y10*0.14</f>
        <v>15.051446666666669</v>
      </c>
      <c r="U10" s="64">
        <f>Y10*0.125*1.4</f>
        <v>18.814308333333333</v>
      </c>
      <c r="V10" s="40">
        <f>Y10*0.1</f>
        <v>10.751033333333334</v>
      </c>
      <c r="W10" s="73">
        <f>Y10*0.1*1.36</f>
        <v>14.621405333333335</v>
      </c>
      <c r="X10" s="34">
        <f>Y10*0.14</f>
        <v>15.051446666666669</v>
      </c>
      <c r="Y10" s="74">
        <f>(M10*P10)/10000*Q10</f>
        <v>107.51033333333334</v>
      </c>
      <c r="Z10" s="75">
        <f>(P10/100)*Q10</f>
        <v>79.933333333333337</v>
      </c>
      <c r="AA10" s="121"/>
    </row>
    <row r="11" spans="1:32" ht="13.5" thickBot="1" x14ac:dyDescent="0.25">
      <c r="A11" s="58"/>
      <c r="B11" s="59"/>
      <c r="C11" s="76"/>
      <c r="D11" s="61"/>
      <c r="E11" s="61"/>
      <c r="F11" s="61"/>
      <c r="G11" s="62"/>
      <c r="H11" s="63"/>
      <c r="I11" s="77"/>
      <c r="J11" s="77"/>
      <c r="K11" s="77"/>
      <c r="L11" s="77"/>
      <c r="M11" s="77"/>
      <c r="N11" s="78"/>
      <c r="O11" s="79">
        <f>(E10+F10)</f>
        <v>42.5</v>
      </c>
      <c r="P11" s="79">
        <f>(D10+E10)*2+4</f>
        <v>109</v>
      </c>
      <c r="Q11" s="41">
        <f>(P10*Q10)/P11</f>
        <v>73.333333333333329</v>
      </c>
      <c r="R11" s="77"/>
      <c r="S11" s="77"/>
      <c r="T11" s="42"/>
      <c r="U11" s="80" t="s">
        <v>99</v>
      </c>
      <c r="V11" s="77"/>
      <c r="W11" s="77"/>
      <c r="X11" s="80" t="s">
        <v>99</v>
      </c>
      <c r="Y11" s="81"/>
      <c r="Z11" s="82"/>
      <c r="AA11" s="122"/>
    </row>
    <row r="12" spans="1:32" ht="14.25" x14ac:dyDescent="0.25">
      <c r="A12" s="43"/>
      <c r="B12" s="44"/>
      <c r="C12" s="45"/>
      <c r="D12" s="46"/>
      <c r="E12" s="46"/>
      <c r="F12" s="46"/>
      <c r="G12" s="47"/>
      <c r="H12" s="48"/>
      <c r="I12" s="49"/>
      <c r="J12" s="50"/>
      <c r="K12" s="51"/>
      <c r="L12" s="51"/>
      <c r="M12" s="51"/>
      <c r="N12" s="49"/>
      <c r="O12" s="52"/>
      <c r="P12" s="53"/>
      <c r="Q12" s="35"/>
      <c r="R12" s="49"/>
      <c r="S12" s="49"/>
      <c r="T12" s="89"/>
      <c r="U12" s="89"/>
      <c r="V12" s="89"/>
      <c r="W12" s="89"/>
      <c r="X12" s="89"/>
      <c r="Y12" s="89"/>
      <c r="Z12" s="89"/>
      <c r="AA12" s="89"/>
      <c r="AB12" s="89"/>
      <c r="AC12" s="89"/>
      <c r="AD12" s="89"/>
      <c r="AE12" s="89"/>
      <c r="AF12" s="89"/>
    </row>
    <row r="13" spans="1:32" ht="14.25" x14ac:dyDescent="0.25">
      <c r="A13" s="89"/>
      <c r="B13" s="89"/>
      <c r="C13" s="89"/>
      <c r="D13" s="89"/>
      <c r="E13" s="89"/>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row>
    <row r="14" spans="1:32" ht="14.25" x14ac:dyDescent="0.25">
      <c r="A14" s="89"/>
      <c r="B14" s="89"/>
      <c r="C14" s="89"/>
      <c r="D14" s="89"/>
      <c r="E14" s="89"/>
      <c r="F14" s="89"/>
      <c r="G14" s="89"/>
      <c r="H14" s="89"/>
      <c r="I14" s="89"/>
      <c r="J14" s="89"/>
      <c r="K14" s="89"/>
      <c r="L14" s="89"/>
      <c r="M14" s="89"/>
      <c r="N14" s="89"/>
      <c r="O14" s="89"/>
      <c r="P14" s="89"/>
      <c r="Q14" s="89"/>
      <c r="R14" s="89"/>
      <c r="S14" s="89"/>
      <c r="T14" s="89"/>
      <c r="U14" s="89"/>
      <c r="V14" s="89"/>
      <c r="W14" s="89"/>
      <c r="X14" s="89"/>
      <c r="Y14" s="89"/>
      <c r="Z14" s="89"/>
      <c r="AA14" s="89"/>
      <c r="AB14" s="89"/>
      <c r="AC14" s="89"/>
      <c r="AD14" s="89"/>
      <c r="AE14" s="89"/>
      <c r="AF14" s="89"/>
    </row>
    <row r="15" spans="1:32" ht="14.25" x14ac:dyDescent="0.25">
      <c r="A15" s="89"/>
      <c r="B15" s="89"/>
      <c r="C15" s="89"/>
      <c r="D15" s="89"/>
      <c r="E15" s="89"/>
      <c r="F15" s="89"/>
      <c r="G15" s="89"/>
      <c r="H15" s="89"/>
      <c r="I15" s="89"/>
      <c r="J15" s="89"/>
      <c r="K15" s="89"/>
      <c r="L15" s="89"/>
      <c r="M15" s="89"/>
      <c r="N15" s="89"/>
      <c r="O15" s="89"/>
      <c r="P15" s="89"/>
      <c r="Q15" s="89"/>
      <c r="R15" s="89"/>
      <c r="S15" s="89"/>
      <c r="T15" s="89"/>
      <c r="U15" s="89"/>
      <c r="V15" s="89"/>
      <c r="W15" s="89"/>
      <c r="X15" s="89"/>
      <c r="Y15" s="89"/>
      <c r="Z15" s="89"/>
      <c r="AA15" s="89"/>
      <c r="AB15" s="89"/>
      <c r="AC15" s="89"/>
      <c r="AD15" s="89"/>
      <c r="AE15" s="89"/>
      <c r="AF15" s="89"/>
    </row>
    <row r="16" spans="1:32" ht="14.25" x14ac:dyDescent="0.25">
      <c r="A16" s="89"/>
      <c r="B16" s="89"/>
      <c r="C16" s="89"/>
      <c r="D16" s="89"/>
      <c r="E16" s="89"/>
      <c r="F16" s="89"/>
      <c r="G16" s="89"/>
      <c r="H16" s="89"/>
      <c r="I16" s="89"/>
      <c r="J16" s="89"/>
      <c r="K16" s="89"/>
      <c r="L16" s="89"/>
      <c r="M16" s="89"/>
      <c r="N16" s="89"/>
      <c r="O16" s="89"/>
      <c r="P16" s="89"/>
      <c r="Q16" s="89"/>
      <c r="R16" s="89"/>
      <c r="S16" s="89"/>
      <c r="T16" s="89"/>
      <c r="U16" s="89"/>
      <c r="V16" s="89"/>
      <c r="W16" s="89"/>
      <c r="X16" s="89"/>
      <c r="Y16" s="89"/>
      <c r="Z16" s="89"/>
      <c r="AA16" s="89"/>
      <c r="AB16" s="89"/>
      <c r="AC16" s="89"/>
      <c r="AD16" s="89"/>
      <c r="AE16" s="89"/>
      <c r="AF16" s="89"/>
    </row>
    <row r="17" spans="1:32" ht="14.25" x14ac:dyDescent="0.25">
      <c r="A17" s="89"/>
      <c r="B17" s="89"/>
      <c r="C17" s="89"/>
      <c r="D17" s="89"/>
      <c r="E17" s="89"/>
      <c r="F17" s="89"/>
      <c r="G17" s="89"/>
      <c r="H17" s="89"/>
      <c r="I17" s="89"/>
      <c r="J17" s="89"/>
      <c r="K17" s="89"/>
      <c r="L17" s="89"/>
      <c r="M17" s="89"/>
      <c r="N17" s="89"/>
      <c r="O17" s="89"/>
      <c r="P17" s="89"/>
      <c r="Q17" s="89"/>
      <c r="R17" s="89"/>
      <c r="S17" s="89"/>
      <c r="T17" s="89"/>
      <c r="U17" s="89"/>
      <c r="V17" s="89"/>
      <c r="W17" s="89"/>
      <c r="X17" s="89"/>
      <c r="Y17" s="89"/>
      <c r="Z17" s="89"/>
      <c r="AA17" s="89"/>
      <c r="AB17" s="89"/>
      <c r="AC17" s="89"/>
      <c r="AD17" s="89"/>
      <c r="AE17" s="89"/>
      <c r="AF17" s="89"/>
    </row>
    <row r="18" spans="1:32" ht="14.25" x14ac:dyDescent="0.25">
      <c r="A18" s="89"/>
      <c r="B18" s="89"/>
      <c r="C18" s="89"/>
      <c r="D18" s="89"/>
      <c r="E18" s="89"/>
      <c r="F18" s="89"/>
      <c r="G18" s="89"/>
      <c r="H18" s="89"/>
      <c r="I18" s="89"/>
      <c r="J18" s="89"/>
      <c r="K18" s="89"/>
      <c r="L18" s="89"/>
      <c r="M18" s="89"/>
      <c r="N18" s="89"/>
      <c r="O18" s="89"/>
      <c r="P18" s="89"/>
      <c r="Q18" s="89"/>
      <c r="R18" s="89"/>
      <c r="S18" s="89"/>
      <c r="T18" s="89"/>
      <c r="U18" s="89"/>
      <c r="V18" s="89"/>
      <c r="W18" s="89"/>
      <c r="X18" s="89"/>
      <c r="Y18" s="89"/>
      <c r="Z18" s="89"/>
      <c r="AA18" s="89"/>
      <c r="AB18" s="89"/>
      <c r="AC18" s="89"/>
      <c r="AD18" s="89"/>
      <c r="AE18" s="89"/>
      <c r="AF18" s="89"/>
    </row>
    <row r="19" spans="1:32" ht="14.25" x14ac:dyDescent="0.25">
      <c r="A19" s="89"/>
      <c r="B19" s="89"/>
      <c r="C19" s="89"/>
      <c r="D19" s="89"/>
      <c r="E19" s="89"/>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c r="AE19" s="89"/>
      <c r="AF19" s="89"/>
    </row>
    <row r="20" spans="1:32" ht="14.25" x14ac:dyDescent="0.25">
      <c r="A20" s="89"/>
      <c r="B20" s="89"/>
      <c r="C20" s="89"/>
      <c r="D20" s="89"/>
      <c r="E20" s="89"/>
      <c r="F20" s="89"/>
      <c r="G20" s="89"/>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row>
    <row r="21" spans="1:32" ht="14.25" x14ac:dyDescent="0.25">
      <c r="A21" s="89"/>
      <c r="B21" s="89"/>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row>
    <row r="22" spans="1:32" ht="14.25" x14ac:dyDescent="0.25">
      <c r="A22" s="89"/>
      <c r="B22" s="89"/>
      <c r="C22" s="89"/>
      <c r="D22" s="89"/>
      <c r="E22" s="89"/>
      <c r="F22" s="89"/>
      <c r="G22" s="89"/>
      <c r="H22" s="89"/>
      <c r="I22" s="89"/>
      <c r="J22" s="89"/>
      <c r="K22" s="89"/>
      <c r="L22" s="89"/>
      <c r="M22" s="89"/>
      <c r="N22" s="89"/>
      <c r="O22" s="89"/>
      <c r="P22" s="89"/>
      <c r="Q22" s="89"/>
      <c r="R22" s="89"/>
      <c r="S22" s="89"/>
      <c r="T22" s="89"/>
      <c r="U22" s="89"/>
      <c r="V22" s="89"/>
      <c r="W22" s="89"/>
      <c r="X22" s="89"/>
      <c r="Y22" s="89"/>
      <c r="Z22" s="89"/>
      <c r="AA22" s="89"/>
      <c r="AB22" s="89"/>
      <c r="AC22" s="89"/>
      <c r="AD22" s="89"/>
      <c r="AE22" s="89"/>
      <c r="AF22" s="89"/>
    </row>
    <row r="23" spans="1:32" ht="14.25" x14ac:dyDescent="0.25">
      <c r="A23" s="89"/>
      <c r="B23" s="89"/>
      <c r="C23" s="89"/>
      <c r="D23" s="89"/>
      <c r="E23" s="89"/>
      <c r="F23" s="89"/>
      <c r="G23" s="89"/>
      <c r="H23" s="89"/>
      <c r="I23" s="89"/>
      <c r="J23" s="89"/>
      <c r="K23" s="89"/>
      <c r="L23" s="89"/>
      <c r="M23" s="89"/>
      <c r="N23" s="89"/>
      <c r="O23" s="89"/>
      <c r="P23" s="89"/>
      <c r="Q23" s="89"/>
      <c r="R23" s="89"/>
      <c r="S23" s="89"/>
      <c r="T23" s="89"/>
      <c r="U23" s="89"/>
      <c r="V23" s="89"/>
      <c r="W23" s="89"/>
      <c r="X23" s="89"/>
      <c r="Y23" s="89"/>
      <c r="Z23" s="89"/>
      <c r="AA23" s="89"/>
      <c r="AB23" s="89"/>
      <c r="AC23" s="89"/>
      <c r="AD23" s="89"/>
      <c r="AE23" s="89"/>
      <c r="AF23" s="89"/>
    </row>
    <row r="24" spans="1:32" ht="14.25" x14ac:dyDescent="0.25">
      <c r="A24" s="89"/>
      <c r="B24" s="89"/>
      <c r="C24" s="89"/>
      <c r="D24" s="89"/>
      <c r="E24" s="89"/>
      <c r="F24" s="89"/>
      <c r="G24" s="89"/>
      <c r="H24" s="89"/>
      <c r="I24" s="89"/>
      <c r="J24" s="89"/>
      <c r="K24" s="89"/>
      <c r="L24" s="89"/>
      <c r="M24" s="89"/>
      <c r="N24" s="89"/>
      <c r="O24" s="89"/>
      <c r="P24" s="89"/>
      <c r="Q24" s="89"/>
      <c r="R24" s="89"/>
      <c r="S24" s="89"/>
      <c r="T24" s="89"/>
      <c r="U24" s="89"/>
      <c r="V24" s="89"/>
      <c r="W24" s="89"/>
      <c r="X24" s="89"/>
      <c r="Y24" s="89"/>
      <c r="Z24" s="89"/>
      <c r="AA24" s="89"/>
      <c r="AB24" s="89"/>
      <c r="AC24" s="89"/>
      <c r="AD24" s="89"/>
      <c r="AE24" s="89"/>
      <c r="AF24" s="89"/>
    </row>
    <row r="25" spans="1:32" ht="14.25" x14ac:dyDescent="0.25">
      <c r="A25" s="89"/>
      <c r="B25" s="89"/>
      <c r="C25" s="89"/>
      <c r="D25" s="89"/>
      <c r="E25" s="89"/>
      <c r="F25" s="89"/>
      <c r="G25" s="89"/>
      <c r="H25" s="89"/>
      <c r="I25" s="89"/>
      <c r="J25" s="89"/>
      <c r="K25" s="89"/>
      <c r="L25" s="89"/>
      <c r="M25" s="89"/>
      <c r="N25" s="89"/>
      <c r="O25" s="89"/>
      <c r="P25" s="89"/>
      <c r="Q25" s="89"/>
      <c r="R25" s="89"/>
      <c r="S25" s="89"/>
      <c r="T25" s="89"/>
      <c r="U25" s="89"/>
      <c r="V25" s="89"/>
      <c r="W25" s="89"/>
      <c r="X25" s="89"/>
      <c r="Y25" s="89"/>
      <c r="Z25" s="89"/>
      <c r="AA25" s="89"/>
      <c r="AB25" s="89"/>
      <c r="AC25" s="89"/>
      <c r="AD25" s="89"/>
      <c r="AE25" s="89"/>
      <c r="AF25" s="89"/>
    </row>
    <row r="26" spans="1:32" ht="14.25" x14ac:dyDescent="0.25">
      <c r="A26" s="89"/>
      <c r="B26" s="89"/>
      <c r="C26" s="89"/>
      <c r="D26" s="89"/>
      <c r="E26" s="89"/>
      <c r="F26" s="89"/>
      <c r="G26" s="89"/>
      <c r="H26" s="89"/>
      <c r="I26" s="89"/>
      <c r="J26" s="89"/>
      <c r="K26" s="89"/>
      <c r="L26" s="89"/>
      <c r="M26" s="89"/>
      <c r="N26" s="89"/>
      <c r="O26" s="89"/>
      <c r="P26" s="89"/>
      <c r="Q26" s="89"/>
      <c r="R26" s="89"/>
      <c r="S26" s="89"/>
      <c r="T26" s="89"/>
      <c r="U26" s="89"/>
      <c r="V26" s="89"/>
      <c r="W26" s="89"/>
      <c r="X26" s="89"/>
      <c r="Y26" s="89"/>
      <c r="Z26" s="89"/>
      <c r="AA26" s="89"/>
      <c r="AB26" s="89"/>
      <c r="AC26" s="89"/>
      <c r="AD26" s="89"/>
      <c r="AE26" s="89"/>
      <c r="AF26" s="89"/>
    </row>
    <row r="27" spans="1:32" ht="14.25" x14ac:dyDescent="0.25">
      <c r="A27" s="89"/>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89"/>
    </row>
    <row r="28" spans="1:32" ht="14.25" x14ac:dyDescent="0.25">
      <c r="A28" s="89"/>
      <c r="B28" s="89"/>
      <c r="C28" s="89"/>
      <c r="D28" s="89"/>
      <c r="E28" s="89"/>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row>
    <row r="29" spans="1:32" ht="14.25" x14ac:dyDescent="0.25">
      <c r="A29" s="89"/>
      <c r="B29" s="89"/>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row>
    <row r="30" spans="1:32" ht="14.25" x14ac:dyDescent="0.25">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c r="AA30" s="89"/>
      <c r="AB30" s="89"/>
      <c r="AC30" s="89"/>
      <c r="AD30" s="89"/>
      <c r="AE30" s="89"/>
      <c r="AF30" s="89"/>
    </row>
    <row r="31" spans="1:32" ht="14.25" x14ac:dyDescent="0.25">
      <c r="A31" s="89"/>
      <c r="B31" s="89"/>
      <c r="C31" s="89"/>
      <c r="D31" s="89"/>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row>
    <row r="32" spans="1:32" ht="14.25" x14ac:dyDescent="0.25">
      <c r="A32" s="89"/>
      <c r="B32" s="89"/>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row>
    <row r="33" spans="1:32" ht="14.25" x14ac:dyDescent="0.25">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row>
    <row r="34" spans="1:32" ht="14.25" x14ac:dyDescent="0.25">
      <c r="A34" s="89"/>
      <c r="B34" s="89"/>
      <c r="C34" s="89"/>
      <c r="D34" s="89"/>
      <c r="E34" s="89"/>
      <c r="F34" s="89"/>
      <c r="G34" s="89"/>
      <c r="H34" s="89"/>
      <c r="I34" s="89"/>
      <c r="J34" s="89"/>
      <c r="K34" s="89"/>
      <c r="L34" s="89"/>
      <c r="M34" s="89"/>
      <c r="N34" s="89"/>
      <c r="O34" s="89"/>
      <c r="P34" s="89"/>
      <c r="Q34" s="89"/>
      <c r="R34" s="89"/>
      <c r="S34" s="89"/>
      <c r="T34" s="89"/>
      <c r="U34" s="89"/>
      <c r="V34" s="89"/>
      <c r="W34" s="89"/>
      <c r="X34" s="89"/>
      <c r="Y34" s="89"/>
      <c r="Z34" s="89"/>
      <c r="AA34" s="89"/>
      <c r="AB34" s="89"/>
      <c r="AC34" s="89"/>
      <c r="AD34" s="89"/>
      <c r="AE34" s="89"/>
      <c r="AF34" s="89"/>
    </row>
    <row r="35" spans="1:32" ht="14.25" x14ac:dyDescent="0.25">
      <c r="A35" s="89"/>
      <c r="B35" s="89"/>
      <c r="C35" s="89"/>
      <c r="D35" s="89"/>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row>
    <row r="36" spans="1:32" ht="14.25" x14ac:dyDescent="0.25">
      <c r="A36" s="89"/>
      <c r="B36" s="89"/>
      <c r="C36" s="89"/>
      <c r="D36" s="89"/>
      <c r="E36" s="89"/>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row>
    <row r="37" spans="1:32" ht="14.25" x14ac:dyDescent="0.25">
      <c r="A37" s="89"/>
      <c r="B37" s="89"/>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row>
    <row r="38" spans="1:32" ht="14.25" x14ac:dyDescent="0.25">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89"/>
      <c r="AB38" s="89"/>
      <c r="AC38" s="89"/>
      <c r="AD38" s="89"/>
      <c r="AE38" s="89"/>
      <c r="AF38" s="89"/>
    </row>
    <row r="39" spans="1:32" ht="14.25" x14ac:dyDescent="0.25">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c r="AA39" s="89"/>
      <c r="AB39" s="89"/>
      <c r="AC39" s="89"/>
      <c r="AD39" s="89"/>
      <c r="AE39" s="89"/>
      <c r="AF39" s="89"/>
    </row>
    <row r="40" spans="1:32" ht="14.25" x14ac:dyDescent="0.25">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row>
    <row r="41" spans="1:32" ht="14.25" x14ac:dyDescent="0.25">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row>
    <row r="42" spans="1:32" ht="14.25" x14ac:dyDescent="0.25">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row>
    <row r="43" spans="1:32" ht="14.25" x14ac:dyDescent="0.25">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89"/>
    </row>
    <row r="44" spans="1:32" ht="14.25" x14ac:dyDescent="0.25">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row>
    <row r="45" spans="1:32" ht="14.25" x14ac:dyDescent="0.25">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c r="AC45" s="89"/>
      <c r="AD45" s="89"/>
      <c r="AE45" s="89"/>
      <c r="AF45" s="89"/>
    </row>
    <row r="46" spans="1:32" ht="14.25" x14ac:dyDescent="0.25">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row>
    <row r="47" spans="1:32" ht="14.25" x14ac:dyDescent="0.25">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row>
    <row r="48" spans="1:32" ht="14.25" x14ac:dyDescent="0.25">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c r="AA48" s="89"/>
      <c r="AB48" s="89"/>
      <c r="AC48" s="89"/>
      <c r="AD48" s="89"/>
      <c r="AE48" s="89"/>
      <c r="AF48" s="89"/>
    </row>
    <row r="49" spans="1:32" ht="14.25" x14ac:dyDescent="0.25">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row>
    <row r="50" spans="1:32" ht="14.25" x14ac:dyDescent="0.25">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row>
    <row r="51" spans="1:32" ht="14.25" x14ac:dyDescent="0.25">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row>
    <row r="52" spans="1:32" ht="14.25" x14ac:dyDescent="0.25">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89"/>
    </row>
    <row r="53" spans="1:32" ht="14.25" x14ac:dyDescent="0.25">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c r="AA53" s="89"/>
      <c r="AB53" s="89"/>
      <c r="AC53" s="89"/>
      <c r="AD53" s="89"/>
      <c r="AE53" s="89"/>
      <c r="AF53" s="89"/>
    </row>
    <row r="54" spans="1:32" ht="14.25" x14ac:dyDescent="0.25">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c r="AA54" s="89"/>
      <c r="AB54" s="89"/>
      <c r="AC54" s="89"/>
      <c r="AD54" s="89"/>
      <c r="AE54" s="89"/>
      <c r="AF54" s="89"/>
    </row>
    <row r="55" spans="1:32" ht="14.25" x14ac:dyDescent="0.25">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c r="AA55" s="89"/>
      <c r="AB55" s="89"/>
      <c r="AC55" s="89"/>
      <c r="AD55" s="89"/>
      <c r="AE55" s="89"/>
      <c r="AF55" s="89"/>
    </row>
    <row r="56" spans="1:32" ht="14.25" x14ac:dyDescent="0.25">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c r="AA56" s="89"/>
      <c r="AB56" s="89"/>
      <c r="AC56" s="89"/>
      <c r="AD56" s="89"/>
      <c r="AE56" s="89"/>
      <c r="AF56" s="89"/>
    </row>
    <row r="57" spans="1:32" ht="14.25" x14ac:dyDescent="0.25">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89"/>
    </row>
    <row r="58" spans="1:32" ht="14.25" x14ac:dyDescent="0.25">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row>
    <row r="59" spans="1:32" ht="14.25" x14ac:dyDescent="0.25">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c r="AA59" s="89"/>
      <c r="AB59" s="89"/>
      <c r="AC59" s="89"/>
      <c r="AD59" s="89"/>
      <c r="AE59" s="89"/>
      <c r="AF59" s="89"/>
    </row>
    <row r="60" spans="1:32" ht="14.25" x14ac:dyDescent="0.25">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c r="AA60" s="89"/>
      <c r="AB60" s="89"/>
      <c r="AC60" s="89"/>
      <c r="AD60" s="89"/>
      <c r="AE60" s="89"/>
      <c r="AF60" s="89"/>
    </row>
    <row r="61" spans="1:32" ht="14.25" x14ac:dyDescent="0.25">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c r="AA61" s="89"/>
      <c r="AB61" s="89"/>
      <c r="AC61" s="89"/>
      <c r="AD61" s="89"/>
      <c r="AE61" s="89"/>
      <c r="AF61" s="89"/>
    </row>
    <row r="62" spans="1:32" ht="14.25" x14ac:dyDescent="0.25">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c r="AA62" s="89"/>
      <c r="AB62" s="89"/>
      <c r="AC62" s="89"/>
      <c r="AD62" s="89"/>
      <c r="AE62" s="89"/>
      <c r="AF62" s="89"/>
    </row>
    <row r="63" spans="1:32" ht="14.25" x14ac:dyDescent="0.25">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row>
    <row r="64" spans="1:32" ht="14.25" x14ac:dyDescent="0.25">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c r="AA64" s="89"/>
      <c r="AB64" s="89"/>
      <c r="AC64" s="89"/>
      <c r="AD64" s="89"/>
      <c r="AE64" s="89"/>
      <c r="AF64" s="89"/>
    </row>
    <row r="65" spans="1:32" ht="14.25" x14ac:dyDescent="0.25">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row>
    <row r="66" spans="1:32" ht="14.25" x14ac:dyDescent="0.25">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row>
    <row r="67" spans="1:32" ht="14.25" x14ac:dyDescent="0.25">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c r="AA67" s="89"/>
      <c r="AB67" s="89"/>
      <c r="AC67" s="89"/>
      <c r="AD67" s="89"/>
      <c r="AE67" s="89"/>
      <c r="AF67" s="89"/>
    </row>
    <row r="68" spans="1:32" ht="14.25" x14ac:dyDescent="0.25">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row>
    <row r="69" spans="1:32" ht="14.25" x14ac:dyDescent="0.25">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row>
    <row r="70" spans="1:32" ht="14.25" x14ac:dyDescent="0.25">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c r="AA70" s="89"/>
      <c r="AB70" s="89"/>
      <c r="AC70" s="89"/>
      <c r="AD70" s="89"/>
      <c r="AE70" s="89"/>
      <c r="AF70" s="89"/>
    </row>
    <row r="71" spans="1:32" ht="14.25" x14ac:dyDescent="0.25">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row>
    <row r="72" spans="1:32" ht="14.25" x14ac:dyDescent="0.25">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c r="AA72" s="89"/>
      <c r="AB72" s="89"/>
      <c r="AC72" s="89"/>
      <c r="AD72" s="89"/>
      <c r="AE72" s="89"/>
      <c r="AF72" s="89"/>
    </row>
    <row r="73" spans="1:32" ht="14.25" x14ac:dyDescent="0.25">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row>
    <row r="74" spans="1:32" ht="14.25" x14ac:dyDescent="0.25">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row>
    <row r="75" spans="1:32" ht="14.25" x14ac:dyDescent="0.25">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c r="AA75" s="89"/>
      <c r="AB75" s="89"/>
      <c r="AC75" s="89"/>
      <c r="AD75" s="89"/>
      <c r="AE75" s="89"/>
      <c r="AF75" s="89"/>
    </row>
    <row r="76" spans="1:32" ht="14.25" x14ac:dyDescent="0.25">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row>
    <row r="77" spans="1:32" ht="14.25" x14ac:dyDescent="0.25">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c r="AA77" s="89"/>
      <c r="AB77" s="89"/>
      <c r="AC77" s="89"/>
      <c r="AD77" s="89"/>
      <c r="AE77" s="89"/>
      <c r="AF77" s="89"/>
    </row>
    <row r="78" spans="1:32" ht="14.25" x14ac:dyDescent="0.25">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c r="AA78" s="89"/>
      <c r="AB78" s="89"/>
      <c r="AC78" s="89"/>
      <c r="AD78" s="89"/>
      <c r="AE78" s="89"/>
      <c r="AF78" s="89"/>
    </row>
    <row r="79" spans="1:32" ht="14.25" x14ac:dyDescent="0.25">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c r="AA79" s="89"/>
      <c r="AB79" s="89"/>
      <c r="AC79" s="89"/>
      <c r="AD79" s="89"/>
      <c r="AE79" s="89"/>
      <c r="AF79" s="89"/>
    </row>
    <row r="80" spans="1:32" ht="14.25" x14ac:dyDescent="0.25">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c r="AA80" s="89"/>
      <c r="AB80" s="89"/>
      <c r="AC80" s="89"/>
      <c r="AD80" s="89"/>
      <c r="AE80" s="89"/>
      <c r="AF80" s="89"/>
    </row>
    <row r="81" spans="1:32" ht="14.25" x14ac:dyDescent="0.25">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c r="AF81" s="89"/>
    </row>
    <row r="82" spans="1:32" ht="14.25" x14ac:dyDescent="0.25">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c r="AA82" s="89"/>
      <c r="AB82" s="89"/>
      <c r="AC82" s="89"/>
      <c r="AD82" s="89"/>
      <c r="AE82" s="89"/>
      <c r="AF82" s="89"/>
    </row>
    <row r="83" spans="1:32" ht="14.25" x14ac:dyDescent="0.25">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c r="AA83" s="89"/>
      <c r="AB83" s="89"/>
      <c r="AC83" s="89"/>
      <c r="AD83" s="89"/>
      <c r="AE83" s="89"/>
      <c r="AF83" s="89"/>
    </row>
    <row r="84" spans="1:32" ht="12.75" customHeight="1" x14ac:dyDescent="0.25">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c r="AA84" s="89"/>
      <c r="AB84" s="89"/>
      <c r="AC84" s="89"/>
      <c r="AD84" s="89"/>
      <c r="AE84" s="89"/>
      <c r="AF84" s="89"/>
    </row>
    <row r="85" spans="1:32" ht="14.25" x14ac:dyDescent="0.25">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c r="AA85" s="89"/>
      <c r="AB85" s="89"/>
      <c r="AC85" s="89"/>
      <c r="AD85" s="89"/>
      <c r="AE85" s="89"/>
      <c r="AF85" s="89"/>
    </row>
    <row r="86" spans="1:32" ht="14.25" x14ac:dyDescent="0.25">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c r="AC86" s="89"/>
      <c r="AD86" s="89"/>
      <c r="AE86" s="89"/>
      <c r="AF86" s="89"/>
    </row>
    <row r="87" spans="1:32" ht="14.25" x14ac:dyDescent="0.25">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row>
    <row r="88" spans="1:32" ht="15.75" x14ac:dyDescent="0.3">
      <c r="A88" s="89"/>
      <c r="B88" s="90"/>
      <c r="C88" s="89"/>
      <c r="D88" s="89"/>
      <c r="E88" s="89"/>
      <c r="F88" s="89"/>
      <c r="G88" s="89"/>
      <c r="H88" s="89"/>
      <c r="I88" s="89"/>
      <c r="J88" s="89"/>
      <c r="K88" s="91"/>
      <c r="L88" s="89"/>
      <c r="M88" s="89"/>
      <c r="N88" s="89"/>
      <c r="O88" s="89"/>
      <c r="P88" s="89"/>
      <c r="Q88" s="89"/>
      <c r="R88" s="92"/>
      <c r="S88" s="92"/>
      <c r="T88" s="89"/>
      <c r="U88" s="89"/>
      <c r="V88" s="89"/>
      <c r="W88" s="89"/>
      <c r="X88" s="89"/>
      <c r="Y88" s="89"/>
      <c r="Z88" s="89"/>
      <c r="AA88" s="89"/>
      <c r="AB88" s="89"/>
      <c r="AC88" s="89"/>
      <c r="AD88" s="89"/>
      <c r="AE88" s="89"/>
      <c r="AF88" s="89"/>
    </row>
    <row r="89" spans="1:32" ht="15.75" x14ac:dyDescent="0.3">
      <c r="A89" s="89"/>
      <c r="B89" s="90"/>
      <c r="C89" s="89"/>
      <c r="D89" s="89"/>
      <c r="E89" s="89"/>
      <c r="F89" s="89"/>
      <c r="G89" s="89"/>
      <c r="H89" s="89"/>
      <c r="I89" s="89"/>
      <c r="J89" s="89"/>
      <c r="K89" s="91"/>
      <c r="L89" s="89"/>
      <c r="M89" s="89"/>
      <c r="N89" s="89"/>
      <c r="O89" s="89"/>
      <c r="P89" s="89"/>
      <c r="Q89" s="89"/>
      <c r="R89" s="92"/>
      <c r="S89" s="92"/>
      <c r="T89" s="92"/>
      <c r="U89" s="92"/>
      <c r="V89" s="92"/>
      <c r="W89" s="92"/>
      <c r="X89" s="92"/>
      <c r="Y89" s="93"/>
      <c r="Z89" s="94"/>
      <c r="AA89" s="89"/>
    </row>
    <row r="90" spans="1:32" ht="15.75" x14ac:dyDescent="0.3">
      <c r="A90" s="89"/>
      <c r="B90" s="90"/>
      <c r="C90" s="89"/>
      <c r="D90" s="89"/>
      <c r="E90" s="89"/>
      <c r="F90" s="89"/>
      <c r="G90" s="89"/>
      <c r="H90" s="89"/>
      <c r="I90" s="89"/>
      <c r="J90" s="89"/>
      <c r="K90" s="91"/>
      <c r="L90" s="89"/>
      <c r="M90" s="89"/>
      <c r="N90" s="89"/>
      <c r="O90" s="89"/>
      <c r="P90" s="89"/>
      <c r="Q90" s="89"/>
      <c r="R90" s="92"/>
      <c r="S90" s="92"/>
      <c r="T90" s="92"/>
      <c r="U90" s="92"/>
      <c r="V90" s="92"/>
      <c r="W90" s="92"/>
      <c r="X90" s="92"/>
      <c r="Y90" s="93"/>
      <c r="Z90" s="94"/>
      <c r="AA90" s="89"/>
    </row>
    <row r="91" spans="1:32" ht="15.75" x14ac:dyDescent="0.3">
      <c r="A91" s="89"/>
      <c r="B91" s="90"/>
      <c r="C91" s="89"/>
      <c r="D91" s="89"/>
      <c r="E91" s="89"/>
      <c r="F91" s="89"/>
      <c r="G91" s="89"/>
      <c r="H91" s="89"/>
      <c r="I91" s="89"/>
      <c r="J91" s="89"/>
      <c r="K91" s="91"/>
      <c r="L91" s="89"/>
      <c r="M91" s="89"/>
      <c r="N91" s="89"/>
      <c r="O91" s="89"/>
      <c r="P91" s="89"/>
      <c r="Q91" s="89"/>
      <c r="R91" s="92"/>
      <c r="S91" s="92"/>
      <c r="T91" s="92"/>
      <c r="U91" s="92"/>
      <c r="V91" s="92"/>
      <c r="W91" s="119"/>
      <c r="X91" s="119"/>
      <c r="Y91" s="119"/>
      <c r="Z91" s="119"/>
      <c r="AA91" s="119"/>
    </row>
    <row r="92" spans="1:32" ht="17.25" x14ac:dyDescent="0.3">
      <c r="A92" s="95"/>
      <c r="B92" s="96"/>
      <c r="C92" s="95"/>
      <c r="D92" s="95"/>
      <c r="E92" s="95"/>
      <c r="F92" s="95"/>
      <c r="G92" s="95"/>
      <c r="H92" s="95"/>
      <c r="I92" s="95"/>
      <c r="J92" s="95"/>
      <c r="K92" s="95"/>
      <c r="L92" s="95"/>
      <c r="M92" s="95"/>
      <c r="N92" s="95"/>
      <c r="O92" s="95"/>
      <c r="P92" s="95"/>
      <c r="Q92" s="95"/>
      <c r="R92" s="95"/>
      <c r="S92" s="95"/>
      <c r="T92" s="95"/>
      <c r="U92" s="95"/>
      <c r="V92" s="95"/>
      <c r="W92" s="97"/>
      <c r="X92" s="97"/>
      <c r="Y92" s="97"/>
      <c r="Z92" s="98"/>
      <c r="AA92" s="95"/>
    </row>
    <row r="93" spans="1:32" ht="17.25" x14ac:dyDescent="0.3">
      <c r="A93" s="95"/>
      <c r="B93" s="96"/>
      <c r="C93" s="95"/>
      <c r="D93" s="95"/>
      <c r="E93" s="95"/>
      <c r="F93" s="95"/>
      <c r="G93" s="95"/>
      <c r="H93" s="95"/>
      <c r="I93" s="95"/>
      <c r="J93" s="95"/>
      <c r="K93" s="95"/>
      <c r="L93" s="95"/>
      <c r="M93" s="95"/>
      <c r="N93" s="95"/>
      <c r="O93" s="95"/>
      <c r="P93" s="95"/>
      <c r="Q93" s="95"/>
      <c r="R93" s="95"/>
      <c r="S93" s="95"/>
      <c r="T93" s="95"/>
      <c r="U93" s="95"/>
      <c r="V93" s="95"/>
      <c r="W93" s="97"/>
      <c r="X93" s="97"/>
      <c r="Y93" s="97"/>
      <c r="Z93" s="98"/>
      <c r="AA93" s="95"/>
    </row>
    <row r="94" spans="1:32" ht="17.25" x14ac:dyDescent="0.3">
      <c r="A94" s="89"/>
      <c r="B94" s="90"/>
      <c r="C94" s="89"/>
      <c r="D94" s="89"/>
      <c r="E94" s="89"/>
      <c r="F94" s="89"/>
      <c r="G94" s="89"/>
      <c r="H94" s="89"/>
      <c r="I94" s="89"/>
      <c r="J94" s="89"/>
      <c r="K94" s="91"/>
      <c r="L94" s="89"/>
      <c r="M94" s="89"/>
      <c r="N94" s="89"/>
      <c r="O94" s="89"/>
      <c r="P94" s="89"/>
      <c r="Q94" s="89"/>
      <c r="R94" s="92"/>
      <c r="S94" s="92"/>
      <c r="T94" s="92"/>
      <c r="U94" s="92"/>
      <c r="V94" s="92"/>
      <c r="W94" s="97"/>
      <c r="X94" s="97"/>
      <c r="Y94" s="97"/>
      <c r="Z94" s="98"/>
      <c r="AA94" s="89"/>
    </row>
    <row r="95" spans="1:32" ht="17.25" x14ac:dyDescent="0.3">
      <c r="A95" s="89"/>
      <c r="B95" s="90"/>
      <c r="C95" s="89"/>
      <c r="D95" s="89"/>
      <c r="E95" s="89"/>
      <c r="F95" s="89"/>
      <c r="G95" s="89"/>
      <c r="H95" s="89"/>
      <c r="I95" s="89"/>
      <c r="J95" s="89"/>
      <c r="K95" s="91"/>
      <c r="L95" s="89"/>
      <c r="M95" s="89"/>
      <c r="N95" s="89"/>
      <c r="O95" s="89"/>
      <c r="P95" s="89"/>
      <c r="Q95" s="89"/>
      <c r="R95" s="92"/>
      <c r="S95" s="92"/>
      <c r="T95" s="92"/>
      <c r="U95" s="92"/>
      <c r="V95" s="92"/>
      <c r="W95" s="99"/>
      <c r="X95" s="99"/>
      <c r="Y95" s="99"/>
      <c r="Z95" s="100"/>
      <c r="AA95" s="89"/>
    </row>
    <row r="96" spans="1:32" ht="17.25" x14ac:dyDescent="0.3">
      <c r="A96" s="89"/>
      <c r="B96" s="90"/>
      <c r="C96" s="89"/>
      <c r="D96" s="89"/>
      <c r="E96" s="89"/>
      <c r="F96" s="89"/>
      <c r="G96" s="89"/>
      <c r="H96" s="89"/>
      <c r="I96" s="89"/>
      <c r="J96" s="89"/>
      <c r="K96" s="91"/>
      <c r="L96" s="89"/>
      <c r="M96" s="89"/>
      <c r="N96" s="89"/>
      <c r="O96" s="89"/>
      <c r="P96" s="89"/>
      <c r="Q96" s="89"/>
      <c r="R96" s="92"/>
      <c r="S96" s="92"/>
      <c r="T96" s="92"/>
      <c r="U96" s="101"/>
      <c r="V96" s="102"/>
      <c r="W96" s="103"/>
      <c r="X96" s="103"/>
      <c r="Y96" s="103"/>
      <c r="Z96" s="104"/>
      <c r="AA96" s="89"/>
    </row>
    <row r="97" spans="1:27" ht="17.25" x14ac:dyDescent="0.3">
      <c r="A97" s="89"/>
      <c r="B97" s="90"/>
      <c r="C97" s="89"/>
      <c r="D97" s="89"/>
      <c r="E97" s="89"/>
      <c r="F97" s="89"/>
      <c r="G97" s="89"/>
      <c r="H97" s="89"/>
      <c r="I97" s="89"/>
      <c r="J97" s="89"/>
      <c r="K97" s="91"/>
      <c r="L97" s="89"/>
      <c r="M97" s="89"/>
      <c r="N97" s="89"/>
      <c r="O97" s="89"/>
      <c r="P97" s="89"/>
      <c r="Q97" s="89"/>
      <c r="R97" s="92"/>
      <c r="S97" s="92"/>
      <c r="T97" s="92"/>
      <c r="U97" s="102"/>
      <c r="V97" s="102"/>
      <c r="W97" s="103"/>
      <c r="X97" s="103"/>
      <c r="Y97" s="103"/>
      <c r="Z97" s="105"/>
      <c r="AA97" s="89"/>
    </row>
    <row r="98" spans="1:27" ht="17.25" x14ac:dyDescent="0.3">
      <c r="W98" s="103"/>
      <c r="X98" s="103"/>
      <c r="Y98" s="103"/>
      <c r="Z98" s="105"/>
    </row>
  </sheetData>
  <mergeCells count="9">
    <mergeCell ref="D2:F2"/>
    <mergeCell ref="O2:P2"/>
    <mergeCell ref="W91:AA91"/>
    <mergeCell ref="AA3:AA5"/>
    <mergeCell ref="AA6:AA8"/>
    <mergeCell ref="AA9:AA11"/>
    <mergeCell ref="G1:M1"/>
    <mergeCell ref="N1:V1"/>
    <mergeCell ref="W1:Y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33486-4030-4FAD-8D32-1358FCC06278}">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Sheet2</vt:lpstr>
    </vt:vector>
  </TitlesOfParts>
  <Company>ComponentOne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ComponentOne Excel</dc:creator>
  <cp:lastModifiedBy>DO THI THANH THUY</cp:lastModifiedBy>
  <dcterms:created xsi:type="dcterms:W3CDTF">2025-12-15T09:51:54Z</dcterms:created>
  <dcterms:modified xsi:type="dcterms:W3CDTF">2025-12-16T07:15:17Z</dcterms:modified>
</cp:coreProperties>
</file>